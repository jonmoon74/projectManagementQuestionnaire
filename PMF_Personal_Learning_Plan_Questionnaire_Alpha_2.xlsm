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66925"/>
  <mc:AlternateContent xmlns:mc="http://schemas.openxmlformats.org/markup-compatibility/2006">
    <mc:Choice Requires="x15">
      <x15ac:absPath xmlns:x15ac="http://schemas.microsoft.com/office/spreadsheetml/2010/11/ac" url="C:\Users\jonathan.moon\OneDrive - SODEXO\Working Folder\PMF - Global working group\Questionnaire\"/>
    </mc:Choice>
  </mc:AlternateContent>
  <bookViews>
    <workbookView xWindow="0" yWindow="0" windowWidth="20490" windowHeight="8130" tabRatio="744"/>
  </bookViews>
  <sheets>
    <sheet name="Instructions" sheetId="2" r:id="rId1"/>
    <sheet name="Results" sheetId="1" state="veryHidden" r:id="rId2"/>
    <sheet name="Page_One" sheetId="3" state="veryHidden" r:id="rId3"/>
    <sheet name="Page_Two" sheetId="9" state="veryHidden" r:id="rId4"/>
    <sheet name="Page_Three" sheetId="10" state="veryHidden" r:id="rId5"/>
    <sheet name="listsandranges" sheetId="7" state="veryHidden" r:id="rId6"/>
    <sheet name="Controller" sheetId="5" state="veryHidden" r:id="rId7"/>
    <sheet name="ScribblePad" sheetId="8" state="hidden" r:id="rId8"/>
  </sheets>
  <functionGroups builtInGroupCount="18"/>
  <definedNames>
    <definedName name="levelScores">listsandranges!$D$4:$E$7</definedName>
    <definedName name="ModuleByRole">Controller!$N$3:$Z$17</definedName>
    <definedName name="ModuleNames">listsandranges!$B$4:$B$17</definedName>
    <definedName name="Personas">listsandranges!$F$4:$F$16</definedName>
    <definedName name="_xlnm.Print_Area" localSheetId="0">Instructions!$A$1:$H$34</definedName>
    <definedName name="projecttypes">listsandranges!$D$15:$D$18</definedName>
    <definedName name="ScaleRate">listsandranges!$D$22:$D$28</definedName>
    <definedName name="yesno">listsandranges!$D$10:$D$12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4" i="1" l="1"/>
  <c r="F15" i="1"/>
  <c r="F16" i="1"/>
  <c r="F17" i="1"/>
  <c r="F18" i="1"/>
  <c r="F19" i="1"/>
  <c r="F20" i="1"/>
  <c r="F21" i="1"/>
  <c r="F22" i="1"/>
  <c r="F23" i="1"/>
  <c r="F24" i="1"/>
  <c r="F25" i="1"/>
  <c r="F26" i="1"/>
  <c r="F13" i="1"/>
  <c r="W62" i="5" l="1"/>
  <c r="X62" i="5"/>
  <c r="Y62" i="5"/>
  <c r="Z61" i="5"/>
  <c r="Z62" i="5" s="1"/>
  <c r="F107" i="5"/>
  <c r="E109" i="5"/>
  <c r="G114" i="5"/>
  <c r="G113" i="5"/>
  <c r="G112" i="5"/>
  <c r="G111" i="5"/>
  <c r="G110" i="5"/>
  <c r="G109" i="5"/>
  <c r="G108" i="5"/>
  <c r="G107" i="5"/>
  <c r="G106" i="5"/>
  <c r="G105" i="5"/>
  <c r="G104" i="5"/>
  <c r="G103" i="5"/>
  <c r="G102" i="5"/>
  <c r="G101" i="5"/>
  <c r="V60" i="5"/>
  <c r="U59" i="5"/>
  <c r="M58" i="5"/>
  <c r="M62" i="5" s="1"/>
  <c r="S57" i="5"/>
  <c r="R56" i="5"/>
  <c r="M55" i="5"/>
  <c r="O54" i="5"/>
  <c r="T53" i="5"/>
  <c r="U41" i="5"/>
  <c r="F109" i="5" s="1"/>
  <c r="T41" i="5"/>
  <c r="F108" i="5" s="1"/>
  <c r="S41" i="5"/>
  <c r="R41" i="5"/>
  <c r="F106" i="5" s="1"/>
  <c r="P41" i="5"/>
  <c r="F104" i="5" s="1"/>
  <c r="N41" i="5"/>
  <c r="F102" i="5" s="1"/>
  <c r="Y40" i="5"/>
  <c r="Y41" i="5" s="1"/>
  <c r="F113" i="5" s="1"/>
  <c r="X40" i="5"/>
  <c r="W40" i="5"/>
  <c r="W39" i="5"/>
  <c r="X38" i="5"/>
  <c r="Z37" i="5"/>
  <c r="W37" i="5"/>
  <c r="X36" i="5"/>
  <c r="W36" i="5"/>
  <c r="M36" i="5"/>
  <c r="X35" i="5"/>
  <c r="W35" i="5"/>
  <c r="M35" i="5"/>
  <c r="Z34" i="5"/>
  <c r="V33" i="5"/>
  <c r="Z32" i="5"/>
  <c r="V31" i="5"/>
  <c r="Z30" i="5"/>
  <c r="Q30" i="5"/>
  <c r="Q41" i="5" s="1"/>
  <c r="F105" i="5" s="1"/>
  <c r="O30" i="5"/>
  <c r="O41" i="5" s="1"/>
  <c r="F103" i="5" s="1"/>
  <c r="M30" i="5"/>
  <c r="Y28" i="5"/>
  <c r="E113" i="5" s="1"/>
  <c r="T28" i="5"/>
  <c r="E108" i="5" s="1"/>
  <c r="S28" i="5"/>
  <c r="E107" i="5" s="1"/>
  <c r="R28" i="5"/>
  <c r="E106" i="5" s="1"/>
  <c r="O28" i="5"/>
  <c r="E103" i="5" s="1"/>
  <c r="P27" i="5"/>
  <c r="N27" i="5"/>
  <c r="N28" i="5" s="1"/>
  <c r="E102" i="5" s="1"/>
  <c r="U26" i="5"/>
  <c r="U28" i="5" s="1"/>
  <c r="P26" i="5"/>
  <c r="V25" i="5"/>
  <c r="V28" i="5" s="1"/>
  <c r="E110" i="5" s="1"/>
  <c r="Q25" i="5"/>
  <c r="Q28" i="5" s="1"/>
  <c r="E105" i="5" s="1"/>
  <c r="W41" i="5" l="1"/>
  <c r="F111" i="5" s="1"/>
  <c r="P28" i="5"/>
  <c r="E104" i="5" s="1"/>
  <c r="Z41" i="5"/>
  <c r="F114" i="5" s="1"/>
  <c r="M41" i="5"/>
  <c r="F101" i="5" s="1"/>
  <c r="V41" i="5"/>
  <c r="F110" i="5" s="1"/>
  <c r="X41" i="5"/>
  <c r="F112" i="5" s="1"/>
  <c r="D100" i="5"/>
  <c r="C59" i="5" l="1"/>
  <c r="Q44" i="5" s="1"/>
  <c r="Q62" i="5" s="1"/>
  <c r="C60" i="5"/>
  <c r="P45" i="5" s="1"/>
  <c r="P62" i="5" s="1"/>
  <c r="C61" i="5"/>
  <c r="R46" i="5" s="1"/>
  <c r="R62" i="5" s="1"/>
  <c r="C62" i="5"/>
  <c r="S47" i="5" s="1"/>
  <c r="S62" i="5" s="1"/>
  <c r="C63" i="5"/>
  <c r="N48" i="5" s="1"/>
  <c r="N62" i="5" s="1"/>
  <c r="C64" i="5"/>
  <c r="U49" i="5" s="1"/>
  <c r="U62" i="5" s="1"/>
  <c r="C65" i="5"/>
  <c r="T50" i="5" s="1"/>
  <c r="T62" i="5" s="1"/>
  <c r="C66" i="5"/>
  <c r="V51" i="5" s="1"/>
  <c r="C67" i="5"/>
  <c r="V52" i="5" s="1"/>
  <c r="C58" i="5"/>
  <c r="O43" i="5" s="1"/>
  <c r="O62" i="5" s="1"/>
  <c r="C36" i="5"/>
  <c r="C37" i="5"/>
  <c r="C35" i="5"/>
  <c r="C29" i="5"/>
  <c r="C30" i="5"/>
  <c r="C31" i="5"/>
  <c r="C32" i="5"/>
  <c r="C28" i="5"/>
  <c r="C20" i="5"/>
  <c r="C21" i="5"/>
  <c r="C22" i="5"/>
  <c r="C23" i="5"/>
  <c r="C24" i="5"/>
  <c r="C25" i="5"/>
  <c r="C19" i="5"/>
  <c r="C11" i="5"/>
  <c r="C12" i="5"/>
  <c r="C13" i="5"/>
  <c r="D13" i="5" s="1"/>
  <c r="W22" i="5" s="1"/>
  <c r="W28" i="5" s="1"/>
  <c r="E111" i="5" s="1"/>
  <c r="C14" i="5"/>
  <c r="D14" i="5" s="1"/>
  <c r="C15" i="5"/>
  <c r="C16" i="5"/>
  <c r="C10" i="5"/>
  <c r="V62" i="5" l="1"/>
  <c r="X23" i="5"/>
  <c r="M23" i="5"/>
  <c r="F15" i="5"/>
  <c r="I15" i="5"/>
  <c r="H15" i="5"/>
  <c r="G15" i="5"/>
  <c r="G12" i="5"/>
  <c r="H12" i="5"/>
  <c r="I12" i="5"/>
  <c r="F12" i="5"/>
  <c r="C93" i="5"/>
  <c r="C89" i="5"/>
  <c r="C85" i="5"/>
  <c r="C96" i="5"/>
  <c r="C92" i="5"/>
  <c r="C88" i="5"/>
  <c r="C84" i="5"/>
  <c r="C95" i="5"/>
  <c r="C91" i="5"/>
  <c r="C87" i="5"/>
  <c r="C83" i="5"/>
  <c r="C94" i="5"/>
  <c r="C90" i="5"/>
  <c r="C86" i="5"/>
  <c r="E89" i="5" l="1"/>
  <c r="F89" i="5"/>
  <c r="G89" i="5"/>
  <c r="H89" i="5"/>
  <c r="H83" i="5"/>
  <c r="G83" i="5"/>
  <c r="F83" i="5"/>
  <c r="E83" i="5"/>
  <c r="E84" i="5"/>
  <c r="F84" i="5"/>
  <c r="G84" i="5"/>
  <c r="H84" i="5"/>
  <c r="E86" i="5"/>
  <c r="F86" i="5"/>
  <c r="G86" i="5"/>
  <c r="H86" i="5"/>
  <c r="E87" i="5"/>
  <c r="F87" i="5"/>
  <c r="G87" i="5"/>
  <c r="H87" i="5"/>
  <c r="E88" i="5"/>
  <c r="F88" i="5"/>
  <c r="G88" i="5"/>
  <c r="H88" i="5"/>
  <c r="E90" i="5"/>
  <c r="F90" i="5"/>
  <c r="G90" i="5"/>
  <c r="H90" i="5"/>
  <c r="E91" i="5"/>
  <c r="F91" i="5"/>
  <c r="G91" i="5"/>
  <c r="H91" i="5"/>
  <c r="E92" i="5"/>
  <c r="F92" i="5"/>
  <c r="G92" i="5"/>
  <c r="H92" i="5"/>
  <c r="E93" i="5"/>
  <c r="F93" i="5"/>
  <c r="G93" i="5"/>
  <c r="H93" i="5"/>
  <c r="E94" i="5"/>
  <c r="F94" i="5"/>
  <c r="G94" i="5"/>
  <c r="H94" i="5"/>
  <c r="E95" i="5"/>
  <c r="F95" i="5"/>
  <c r="G95" i="5"/>
  <c r="H95" i="5"/>
  <c r="E96" i="5"/>
  <c r="F96" i="5"/>
  <c r="G96" i="5"/>
  <c r="H96" i="5"/>
  <c r="E85" i="5"/>
  <c r="F85" i="5"/>
  <c r="G85" i="5"/>
  <c r="H85" i="5"/>
  <c r="D12" i="5"/>
  <c r="D15" i="5"/>
  <c r="Z24" i="5" s="1"/>
  <c r="Z28" i="5" s="1"/>
  <c r="E114" i="5" s="1"/>
  <c r="D83" i="5" l="1"/>
  <c r="D101" i="5" s="1"/>
  <c r="D85" i="5"/>
  <c r="D103" i="5" s="1"/>
  <c r="C103" i="5" s="1"/>
  <c r="D96" i="5"/>
  <c r="D114" i="5" s="1"/>
  <c r="C114" i="5" s="1"/>
  <c r="D95" i="5"/>
  <c r="D113" i="5" s="1"/>
  <c r="C113" i="5" s="1"/>
  <c r="D94" i="5"/>
  <c r="D112" i="5" s="1"/>
  <c r="D93" i="5"/>
  <c r="D111" i="5" s="1"/>
  <c r="C111" i="5" s="1"/>
  <c r="D92" i="5"/>
  <c r="D110" i="5" s="1"/>
  <c r="C110" i="5" s="1"/>
  <c r="D91" i="5"/>
  <c r="D109" i="5" s="1"/>
  <c r="C109" i="5" s="1"/>
  <c r="D90" i="5"/>
  <c r="D108" i="5" s="1"/>
  <c r="C108" i="5" s="1"/>
  <c r="D88" i="5"/>
  <c r="D87" i="5"/>
  <c r="D86" i="5"/>
  <c r="D104" i="5" s="1"/>
  <c r="C104" i="5" s="1"/>
  <c r="D84" i="5"/>
  <c r="D102" i="5" s="1"/>
  <c r="C102" i="5" s="1"/>
  <c r="D89" i="5"/>
  <c r="D107" i="5" s="1"/>
  <c r="C107" i="5" s="1"/>
  <c r="X21" i="5"/>
  <c r="X28" i="5" s="1"/>
  <c r="E112" i="5" s="1"/>
  <c r="M21" i="5"/>
  <c r="M28" i="5" s="1"/>
  <c r="E101" i="5" s="1"/>
  <c r="D105" i="5"/>
  <c r="C105" i="5" s="1"/>
  <c r="D106" i="5"/>
  <c r="C106" i="5" s="1"/>
  <c r="C112" i="5" l="1"/>
  <c r="C101" i="5"/>
</calcChain>
</file>

<file path=xl/comments1.xml><?xml version="1.0" encoding="utf-8"?>
<comments xmlns="http://schemas.openxmlformats.org/spreadsheetml/2006/main">
  <authors>
    <author>Jonathan Moon</author>
  </authors>
  <commentList>
    <comment ref="C13" authorId="0" shapeId="0">
      <text>
        <r>
          <rPr>
            <b/>
            <sz val="9"/>
            <color indexed="81"/>
            <rFont val="Tahoma"/>
            <family val="2"/>
          </rPr>
          <t>Jonathan Moon:</t>
        </r>
        <r>
          <rPr>
            <sz val="9"/>
            <color indexed="81"/>
            <rFont val="Tahoma"/>
            <family val="2"/>
          </rPr>
          <t xml:space="preserve">
Please enter a whole number</t>
        </r>
      </text>
    </comment>
    <comment ref="C23" authorId="0" shapeId="0">
      <text>
        <r>
          <rPr>
            <b/>
            <sz val="9"/>
            <color indexed="81"/>
            <rFont val="Tahoma"/>
            <family val="2"/>
          </rPr>
          <t>Jonathan Moon:</t>
        </r>
        <r>
          <rPr>
            <sz val="9"/>
            <color indexed="81"/>
            <rFont val="Tahoma"/>
            <family val="2"/>
          </rPr>
          <t xml:space="preserve">
Please enter a whole number</t>
        </r>
      </text>
    </comment>
  </commentList>
</comments>
</file>

<file path=xl/comments2.xml><?xml version="1.0" encoding="utf-8"?>
<comments xmlns="http://schemas.openxmlformats.org/spreadsheetml/2006/main">
  <authors>
    <author>Jonathan Moon</author>
  </authors>
  <commentList>
    <comment ref="C5" authorId="0" shapeId="0">
      <text>
        <r>
          <rPr>
            <b/>
            <sz val="9"/>
            <color indexed="81"/>
            <rFont val="Tahoma"/>
            <family val="2"/>
          </rPr>
          <t>Jonathan Moon:</t>
        </r>
        <r>
          <rPr>
            <sz val="9"/>
            <color indexed="81"/>
            <rFont val="Tahoma"/>
            <family val="2"/>
          </rPr>
          <t xml:space="preserve">
Please enter a whole number</t>
        </r>
      </text>
    </comment>
    <comment ref="B10" authorId="0" shapeId="0">
      <text>
        <r>
          <rPr>
            <b/>
            <sz val="9"/>
            <color indexed="81"/>
            <rFont val="Tahoma"/>
            <family val="2"/>
          </rPr>
          <t>Jonathan Moon:</t>
        </r>
        <r>
          <rPr>
            <sz val="9"/>
            <color indexed="81"/>
            <rFont val="Tahoma"/>
            <family val="2"/>
          </rPr>
          <t xml:space="preserve">
If you do not know how many to dependencies or stakeholders please choose the "Less than 5" option</t>
        </r>
      </text>
    </comment>
  </commentList>
</comments>
</file>

<file path=xl/comments3.xml><?xml version="1.0" encoding="utf-8"?>
<comments xmlns="http://schemas.openxmlformats.org/spreadsheetml/2006/main">
  <authors>
    <author>Jonathan Moon</author>
  </authors>
  <commentList>
    <comment ref="F5" authorId="0" shapeId="0">
      <text>
        <r>
          <rPr>
            <b/>
            <sz val="9"/>
            <color indexed="81"/>
            <rFont val="Tahoma"/>
            <family val="2"/>
          </rPr>
          <t>Jonathan Moon:</t>
        </r>
        <r>
          <rPr>
            <sz val="9"/>
            <color indexed="81"/>
            <rFont val="Tahoma"/>
            <family val="2"/>
          </rPr>
          <t xml:space="preserve">
Please enter a whole number</t>
        </r>
      </text>
    </comment>
  </commentList>
</comments>
</file>

<file path=xl/sharedStrings.xml><?xml version="1.0" encoding="utf-8"?>
<sst xmlns="http://schemas.openxmlformats.org/spreadsheetml/2006/main" count="656" uniqueCount="280">
  <si>
    <t>50/50 internal and external</t>
  </si>
  <si>
    <t>Number of projects undertaken</t>
  </si>
  <si>
    <t>Less than €10k</t>
  </si>
  <si>
    <t>More than €10k but less than €50k</t>
  </si>
  <si>
    <t>More than €50k but less than €100k</t>
  </si>
  <si>
    <t>More than €1million but less than €5million</t>
  </si>
  <si>
    <t>Under budget by 5%</t>
  </si>
  <si>
    <t>Over budget by 5%</t>
  </si>
  <si>
    <t>There are no project management processes in place</t>
  </si>
  <si>
    <t>Processes are informal and specific to particular projects</t>
  </si>
  <si>
    <t>Generic processes exist covering most aspects of the business</t>
  </si>
  <si>
    <t>Formal processes are flexibly applied to match requirements</t>
  </si>
  <si>
    <t>Project management processes are stable and mature</t>
  </si>
  <si>
    <t>Project management processes are regularly refreshed/updated</t>
  </si>
  <si>
    <t>No application of project management processes</t>
  </si>
  <si>
    <t>Applied to occasional projects (especially large/difficult/strategic)</t>
  </si>
  <si>
    <t>Routinely applied to all projects and bids</t>
  </si>
  <si>
    <t>All activities are encompassed by the project management process</t>
  </si>
  <si>
    <t>No tools are used to support the project management processes</t>
  </si>
  <si>
    <t>Resource Management</t>
  </si>
  <si>
    <t>Procurement</t>
  </si>
  <si>
    <t>Module Titles</t>
  </si>
  <si>
    <t>Personas</t>
  </si>
  <si>
    <t>Typical Responses</t>
  </si>
  <si>
    <t>Project Controls</t>
  </si>
  <si>
    <t>Basic</t>
  </si>
  <si>
    <t>Regional Service Operations PMO</t>
  </si>
  <si>
    <t>Scope management</t>
  </si>
  <si>
    <t>Intermediate</t>
  </si>
  <si>
    <t xml:space="preserve">Global Service Operations Teams </t>
  </si>
  <si>
    <t>Time management</t>
  </si>
  <si>
    <t>Advanced</t>
  </si>
  <si>
    <t>Chef Manager, On Site Services</t>
  </si>
  <si>
    <t>Cost management</t>
  </si>
  <si>
    <t>Exempt</t>
  </si>
  <si>
    <t>District Manager, On Site Services</t>
  </si>
  <si>
    <t>Quality management</t>
  </si>
  <si>
    <t>Corporate Account Manager</t>
  </si>
  <si>
    <t>Resource management</t>
  </si>
  <si>
    <t>Technical Sales</t>
  </si>
  <si>
    <t>Communications management</t>
  </si>
  <si>
    <t>Senior Project manager</t>
  </si>
  <si>
    <t>Risk management</t>
  </si>
  <si>
    <t xml:space="preserve">Regional Head of Service Operations </t>
  </si>
  <si>
    <t>Procurement management</t>
  </si>
  <si>
    <t>Sr. Program Manager</t>
  </si>
  <si>
    <t>Governance and stakeholder management</t>
  </si>
  <si>
    <t>Global Project Management &amp; Mobilisation</t>
  </si>
  <si>
    <t>Awareness of general PM methodologies</t>
  </si>
  <si>
    <t>Authorising Engineer</t>
  </si>
  <si>
    <t>Tools</t>
  </si>
  <si>
    <t>OD Change Manager</t>
  </si>
  <si>
    <t>Soft Skills</t>
  </si>
  <si>
    <t>Programme and Portfolio management</t>
  </si>
  <si>
    <t>Learning module title</t>
  </si>
  <si>
    <t>Recommend study level</t>
  </si>
  <si>
    <t>What is your current role title?</t>
  </si>
  <si>
    <t>Which of the following job roles is closest to yours?</t>
  </si>
  <si>
    <t>For how many years have you been managing projects</t>
  </si>
  <si>
    <t>Have you received any formal project management training?</t>
  </si>
  <si>
    <t>Yes</t>
  </si>
  <si>
    <t>No</t>
  </si>
  <si>
    <t>Please list any project management qualifications you hold</t>
  </si>
  <si>
    <t>On average how many projects do you work on at a time?</t>
  </si>
  <si>
    <t>Are your projects internal to Sodexo or external for clients</t>
  </si>
  <si>
    <t>yesno</t>
  </si>
  <si>
    <t>projecttypes</t>
  </si>
  <si>
    <t>Mostly external</t>
  </si>
  <si>
    <t>Mostly internal</t>
  </si>
  <si>
    <t>General Information and project management experience</t>
  </si>
  <si>
    <t>For each budget tier listed below, please indicate how many projects you have managed in the last 12 months</t>
  </si>
  <si>
    <t>More than €100k but less than €250k</t>
  </si>
  <si>
    <t>More than €250k but less than €500k</t>
  </si>
  <si>
    <t>More than €500k but less than €1million</t>
  </si>
  <si>
    <t>Under budget by 10% or more</t>
  </si>
  <si>
    <t>On Budget</t>
  </si>
  <si>
    <t>Over budget by 10% or more</t>
  </si>
  <si>
    <t>Over the last 12 months how many of your projects have been delivered within each range of budget?</t>
  </si>
  <si>
    <t>Number of projects delivered</t>
  </si>
  <si>
    <t>Add variable to results page that switches to true when activated</t>
  </si>
  <si>
    <t>Use this is a boolean test on workbook open, if false open at instructionc, else open at results</t>
  </si>
  <si>
    <t>Pages activated</t>
  </si>
  <si>
    <t>Page_One</t>
  </si>
  <si>
    <t>Page_Two</t>
  </si>
  <si>
    <t>Page_Three</t>
  </si>
  <si>
    <t>Results</t>
  </si>
  <si>
    <t>Project Management History</t>
  </si>
  <si>
    <t>Over the last 12 months how many of your projects have been delivered on time?</t>
  </si>
  <si>
    <t>Delivered early</t>
  </si>
  <si>
    <t>Delivered On Time</t>
  </si>
  <si>
    <t>Delivered Late</t>
  </si>
  <si>
    <t>In the last 12 months, on average, how many stakeholders have been involved in your projects?</t>
  </si>
  <si>
    <t>In the last 12 months, on average, how many dependancies have your projects had?</t>
  </si>
  <si>
    <t>In the next 12 months, on average, how many stakeholders do you expect to be involved in your projects?</t>
  </si>
  <si>
    <t>In the next 12 months, on average, how many dependancies do you expect your projects to have?</t>
  </si>
  <si>
    <t>5 to 10</t>
  </si>
  <si>
    <t>11 to 20</t>
  </si>
  <si>
    <t>21 or more</t>
  </si>
  <si>
    <t>For each of the following please select the option that applies</t>
  </si>
  <si>
    <t>How formal are the project management processes? Are they fully defined with clear scope and objectives?</t>
  </si>
  <si>
    <t>Tick one option</t>
  </si>
  <si>
    <t>How stable and mature are project management processes applied by you/your team?</t>
  </si>
  <si>
    <t>Project management processes are immature and still developing</t>
  </si>
  <si>
    <t>How widely do you/your team apply project management processes?</t>
  </si>
  <si>
    <t>What tools are typically used by you/your team?</t>
  </si>
  <si>
    <t>Basic grasp of standard tools (Microsoft Project, Excel etc.)</t>
  </si>
  <si>
    <t>Effective use of all main tools</t>
  </si>
  <si>
    <t>Expert use of all tools in place</t>
  </si>
  <si>
    <t>What is the appetite towards adopting a standard approach to project management?</t>
  </si>
  <si>
    <t>Project management is not requiresd for success</t>
  </si>
  <si>
    <t>Project management is tolerated but sometimes seen as an unnecessary add-on</t>
  </si>
  <si>
    <t>Project management is recognised and accepted as a part of the business</t>
  </si>
  <si>
    <t>Project management is wlecomed as an essential contributor to meeting business objectives</t>
  </si>
  <si>
    <t>What training is provided for you/your team to improve your project management competency?</t>
  </si>
  <si>
    <t>No Training</t>
  </si>
  <si>
    <t>Basic training on the job from colleagues</t>
  </si>
  <si>
    <t>Thorough training via a suite of internal training courses</t>
  </si>
  <si>
    <t xml:space="preserve">Thorough training  leading to a professional qualification </t>
  </si>
  <si>
    <t>Skills assessment</t>
  </si>
  <si>
    <t>ScaleRate</t>
  </si>
  <si>
    <t>Rating</t>
  </si>
  <si>
    <t xml:space="preserve">Please rate your ability in each of the following areas using a scale of </t>
  </si>
  <si>
    <t>1 to 6: where 1 is low and 6 is high</t>
  </si>
  <si>
    <t>How good is your ability to manage timescales?</t>
  </si>
  <si>
    <t>How would you rate your ability to manage quality on a project?</t>
  </si>
  <si>
    <t>How well are you able to manage costs on a project?</t>
  </si>
  <si>
    <t>What is your ability to manage resources on a project?</t>
  </si>
  <si>
    <t>How effective are your project communications?</t>
  </si>
  <si>
    <t>How well do you keep your project scope under control?</t>
  </si>
  <si>
    <t>What is your project risk management ability like?</t>
  </si>
  <si>
    <t>How effective is your project procurement ability?</t>
  </si>
  <si>
    <t>How effective is your project governance process?</t>
  </si>
  <si>
    <t>How good is your project stakeholder management?</t>
  </si>
  <si>
    <t>Effective skills</t>
  </si>
  <si>
    <t>Expert Skills</t>
  </si>
  <si>
    <t>Risk Management</t>
  </si>
  <si>
    <t>Scheduling</t>
  </si>
  <si>
    <t>Reporting</t>
  </si>
  <si>
    <t>Change management</t>
  </si>
  <si>
    <t>Stakeholder management</t>
  </si>
  <si>
    <t>Basic skills</t>
  </si>
  <si>
    <t>No
Skills</t>
  </si>
  <si>
    <t>For each of the following please select the option that best matches your abilities in each area of project management:</t>
  </si>
  <si>
    <t>Page one</t>
  </si>
  <si>
    <t>Page Two</t>
  </si>
  <si>
    <t>page three</t>
  </si>
  <si>
    <t xml:space="preserve">Please rate your ability in each of the following areas using a scale of 1 to 6 </t>
  </si>
  <si>
    <t>PastStakeholders</t>
  </si>
  <si>
    <t>PastDependancies</t>
  </si>
  <si>
    <t>FutureStakeholders</t>
  </si>
  <si>
    <t>FutureDependancies</t>
  </si>
  <si>
    <t>FormalProcesses</t>
  </si>
  <si>
    <t>StableProcesses</t>
  </si>
  <si>
    <t>WideProcesses</t>
  </si>
  <si>
    <t>TypicalTools</t>
  </si>
  <si>
    <t>StandardAppetite</t>
  </si>
  <si>
    <t>CurrentTraining</t>
  </si>
  <si>
    <t>Benefit identification and tracking</t>
  </si>
  <si>
    <t>RiskManagement</t>
  </si>
  <si>
    <t>ResourceManagement</t>
  </si>
  <si>
    <t>SchedulingAbility</t>
  </si>
  <si>
    <t>ReportingAbility</t>
  </si>
  <si>
    <t>ProcurementAbility</t>
  </si>
  <si>
    <t>BenefitId</t>
  </si>
  <si>
    <t>ChangeManagement</t>
  </si>
  <si>
    <t>StakeholderManagement</t>
  </si>
  <si>
    <t>Modules</t>
  </si>
  <si>
    <t>ModuleByRole</t>
  </si>
  <si>
    <t>E</t>
  </si>
  <si>
    <t>B</t>
  </si>
  <si>
    <t>I</t>
  </si>
  <si>
    <t>A</t>
  </si>
  <si>
    <t>LevelByRole</t>
  </si>
  <si>
    <t>Result</t>
  </si>
  <si>
    <t>RoleScore</t>
  </si>
  <si>
    <t>PageOne</t>
  </si>
  <si>
    <t>PageTwo</t>
  </si>
  <si>
    <t>PageThree</t>
  </si>
  <si>
    <t>levelScores</t>
  </si>
  <si>
    <t>Info only</t>
  </si>
  <si>
    <t>Sets master profile</t>
  </si>
  <si>
    <t>0-5</t>
  </si>
  <si>
    <t>5-10</t>
  </si>
  <si>
    <t>&gt;10</t>
  </si>
  <si>
    <t>Module to assign</t>
  </si>
  <si>
    <t>1, 14</t>
  </si>
  <si>
    <t>Portfolio and programme management</t>
  </si>
  <si>
    <t>PandPManagement</t>
  </si>
  <si>
    <t>t</t>
  </si>
  <si>
    <t>Page One</t>
  </si>
  <si>
    <t>a</t>
  </si>
  <si>
    <t>b</t>
  </si>
  <si>
    <t>c</t>
  </si>
  <si>
    <t>d</t>
  </si>
  <si>
    <t>e</t>
  </si>
  <si>
    <t>f</t>
  </si>
  <si>
    <t>g</t>
  </si>
  <si>
    <t>h</t>
  </si>
  <si>
    <t>i</t>
  </si>
  <si>
    <t>PageOneTl</t>
  </si>
  <si>
    <t>Page two</t>
  </si>
  <si>
    <t>j</t>
  </si>
  <si>
    <t>k</t>
  </si>
  <si>
    <t>l</t>
  </si>
  <si>
    <t>m</t>
  </si>
  <si>
    <t>n</t>
  </si>
  <si>
    <t>o</t>
  </si>
  <si>
    <t>p</t>
  </si>
  <si>
    <t>q</t>
  </si>
  <si>
    <t>r</t>
  </si>
  <si>
    <t>s</t>
  </si>
  <si>
    <t>PageTwoTl</t>
  </si>
  <si>
    <t>Page three</t>
  </si>
  <si>
    <t>u</t>
  </si>
  <si>
    <t>v</t>
  </si>
  <si>
    <t>w</t>
  </si>
  <si>
    <t>x</t>
  </si>
  <si>
    <t>y</t>
  </si>
  <si>
    <t>z</t>
  </si>
  <si>
    <t>aa</t>
  </si>
  <si>
    <t>ab</t>
  </si>
  <si>
    <t>ac</t>
  </si>
  <si>
    <t>ad</t>
  </si>
  <si>
    <t>ae</t>
  </si>
  <si>
    <t>af</t>
  </si>
  <si>
    <t>ag</t>
  </si>
  <si>
    <t>ah</t>
  </si>
  <si>
    <t>ai</t>
  </si>
  <si>
    <t>aj</t>
  </si>
  <si>
    <t>ak</t>
  </si>
  <si>
    <t>al</t>
  </si>
  <si>
    <t>PageThreeTl</t>
  </si>
  <si>
    <t>am</t>
  </si>
  <si>
    <t>Less than 5</t>
  </si>
  <si>
    <t>(If you are unsure select "less than 5")</t>
  </si>
  <si>
    <t>Module</t>
  </si>
  <si>
    <t>No. Q's</t>
  </si>
  <si>
    <t>Basic range</t>
  </si>
  <si>
    <t>Intermediate range</t>
  </si>
  <si>
    <t>Advanced range</t>
  </si>
  <si>
    <t>Exempt range</t>
  </si>
  <si>
    <t>&lt;0</t>
  </si>
  <si>
    <t>0 - 6</t>
  </si>
  <si>
    <t>7 - 15</t>
  </si>
  <si>
    <t>Outcome</t>
  </si>
  <si>
    <t>0 - 16</t>
  </si>
  <si>
    <t>0 - 10</t>
  </si>
  <si>
    <t>0 - 8</t>
  </si>
  <si>
    <t>&gt;15</t>
  </si>
  <si>
    <t>&gt;20</t>
  </si>
  <si>
    <t>Scoring (3 tier)</t>
  </si>
  <si>
    <t>0 - 25</t>
  </si>
  <si>
    <t>26 - 45</t>
  </si>
  <si>
    <t>&gt;45</t>
  </si>
  <si>
    <t>0 - 9</t>
  </si>
  <si>
    <t>10 - 19</t>
  </si>
  <si>
    <t>&gt;19</t>
  </si>
  <si>
    <t>9 - 19</t>
  </si>
  <si>
    <t>11 - 20</t>
  </si>
  <si>
    <t>0 - 41</t>
  </si>
  <si>
    <t>42 - 60</t>
  </si>
  <si>
    <t>&gt;60</t>
  </si>
  <si>
    <t>0 - 45</t>
  </si>
  <si>
    <t>46 - 56</t>
  </si>
  <si>
    <t>&gt;56</t>
  </si>
  <si>
    <t>17 - 45</t>
  </si>
  <si>
    <t>Scoring (2 tier)</t>
  </si>
  <si>
    <t>0 - 35</t>
  </si>
  <si>
    <t>&gt;35</t>
  </si>
  <si>
    <t>0 -10</t>
  </si>
  <si>
    <t>0 - 14</t>
  </si>
  <si>
    <t>&gt;14</t>
  </si>
  <si>
    <t>0 - 18</t>
  </si>
  <si>
    <t>&gt;18</t>
  </si>
  <si>
    <t>0 -15</t>
  </si>
  <si>
    <t>0 - 50</t>
  </si>
  <si>
    <t>&gt;50</t>
  </si>
  <si>
    <t>0 - 15</t>
  </si>
  <si>
    <t>0 - 30</t>
  </si>
  <si>
    <t>&gt;30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</si>
</sst>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Arial"/>
      <family val="2"/>
    </font>
    <font>
      <b/>
      <sz val="11"/>
      <color theme="0"/>
      <name val="Arial"/>
      <family val="2"/>
    </font>
    <font>
      <sz val="12"/>
      <color theme="1"/>
      <name val="Calibri"/>
      <family val="2"/>
      <scheme val="minor"/>
    </font>
    <font>
      <b/>
      <sz val="12"/>
      <color theme="1"/>
      <name val="Calibri"/>
      <family val="2"/>
      <scheme val="minor"/>
    </font>
    <font>
      <b/>
      <sz val="12"/>
      <color theme="0"/>
      <name val="Calibri"/>
      <family val="2"/>
      <scheme val="minor"/>
    </font>
    <font>
      <b/>
      <sz val="11"/>
      <color theme="1"/>
      <name val="Arial"/>
      <family val="2"/>
    </font>
    <font>
      <sz val="9"/>
      <color indexed="81"/>
      <name val="Tahoma"/>
      <family val="2"/>
    </font>
    <font>
      <b/>
      <sz val="9"/>
      <color indexed="81"/>
      <name val="Tahoma"/>
      <family val="2"/>
    </font>
    <font>
      <strike/>
      <sz val="11"/>
      <color theme="1"/>
      <name val="Arial"/>
      <family val="2"/>
    </font>
    <font>
      <sz val="11"/>
      <name val="Arial"/>
      <family val="2"/>
    </font>
  </fonts>
  <fills count="6">
    <fill>
      <patternFill patternType="none"/>
    </fill>
    <fill>
      <patternFill patternType="gray125"/>
    </fill>
    <fill>
      <patternFill patternType="solid">
        <fgColor rgb="FFD3D0C9"/>
        <bgColor indexed="64"/>
      </patternFill>
    </fill>
    <fill>
      <patternFill patternType="solid">
        <fgColor theme="2" tint="-9.9978637043366805E-2"/>
        <bgColor indexed="64"/>
      </patternFill>
    </fill>
    <fill>
      <patternFill patternType="solid">
        <fgColor theme="0"/>
        <bgColor indexed="64"/>
      </patternFill>
    </fill>
    <fill>
      <patternFill patternType="solid">
        <fgColor rgb="FF002060"/>
        <bgColor indexed="64"/>
      </patternFill>
    </fill>
  </fills>
  <borders count="17">
    <border>
      <left/>
      <right/>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s>
  <cellStyleXfs count="2">
    <xf numFmtId="0" fontId="0" fillId="0" borderId="0"/>
    <xf numFmtId="0" fontId="2" fillId="0" borderId="0"/>
  </cellStyleXfs>
  <cellXfs count="115">
    <xf numFmtId="0" fontId="0" fillId="0" borderId="0" xfId="0"/>
    <xf numFmtId="0" fontId="0" fillId="2" borderId="0" xfId="0" applyFill="1"/>
    <xf numFmtId="0" fontId="0" fillId="3" borderId="0" xfId="0" applyFill="1"/>
    <xf numFmtId="0" fontId="0" fillId="0" borderId="1" xfId="0" applyBorder="1"/>
    <xf numFmtId="0" fontId="3" fillId="0" borderId="0" xfId="1" applyFont="1"/>
    <xf numFmtId="0" fontId="2" fillId="0" borderId="0" xfId="1"/>
    <xf numFmtId="0" fontId="2" fillId="0" borderId="11" xfId="1" applyBorder="1"/>
    <xf numFmtId="0" fontId="2" fillId="0" borderId="12" xfId="1" applyBorder="1"/>
    <xf numFmtId="0" fontId="2" fillId="0" borderId="13" xfId="1" applyBorder="1"/>
    <xf numFmtId="0" fontId="3" fillId="0" borderId="11" xfId="1" applyFont="1" applyBorder="1"/>
    <xf numFmtId="0" fontId="3" fillId="0" borderId="12" xfId="1" applyFont="1" applyBorder="1"/>
    <xf numFmtId="0" fontId="2" fillId="0" borderId="12" xfId="1" applyBorder="1" applyAlignment="1">
      <alignment wrapText="1"/>
    </xf>
    <xf numFmtId="0" fontId="0" fillId="2" borderId="0" xfId="0" applyFill="1" applyAlignment="1">
      <alignment vertical="center"/>
    </xf>
    <xf numFmtId="0" fontId="0" fillId="4" borderId="10" xfId="0" applyFill="1" applyBorder="1" applyAlignment="1">
      <alignment vertical="center"/>
    </xf>
    <xf numFmtId="0" fontId="0" fillId="4" borderId="10" xfId="0" applyFill="1" applyBorder="1"/>
    <xf numFmtId="0" fontId="0" fillId="4" borderId="5" xfId="0" applyFill="1" applyBorder="1" applyAlignment="1">
      <alignment horizontal="left" vertical="center"/>
    </xf>
    <xf numFmtId="0" fontId="0" fillId="4" borderId="11" xfId="0" applyFill="1" applyBorder="1" applyAlignment="1">
      <alignment horizontal="center" vertical="center"/>
    </xf>
    <xf numFmtId="0" fontId="0" fillId="4" borderId="10" xfId="0" applyFill="1" applyBorder="1" applyAlignment="1">
      <alignment horizontal="right" vertical="center"/>
    </xf>
    <xf numFmtId="0" fontId="0" fillId="0" borderId="5" xfId="0" applyBorder="1"/>
    <xf numFmtId="0" fontId="0" fillId="0" borderId="6" xfId="0" applyBorder="1"/>
    <xf numFmtId="0" fontId="0" fillId="0" borderId="7" xfId="0" applyBorder="1"/>
    <xf numFmtId="0" fontId="0" fillId="0" borderId="9" xfId="0" applyBorder="1"/>
    <xf numFmtId="0" fontId="8" fillId="0" borderId="0" xfId="0" applyFont="1"/>
    <xf numFmtId="0" fontId="0" fillId="4" borderId="10" xfId="0" applyFill="1" applyBorder="1" applyAlignment="1">
      <alignment horizontal="right" vertical="center" wrapText="1"/>
    </xf>
    <xf numFmtId="16" fontId="0" fillId="4" borderId="11" xfId="0" applyNumberFormat="1" applyFill="1" applyBorder="1" applyAlignment="1">
      <alignment horizontal="center" vertical="center"/>
    </xf>
    <xf numFmtId="16" fontId="0" fillId="4" borderId="0" xfId="0" applyNumberFormat="1" applyFill="1" applyBorder="1" applyAlignment="1">
      <alignment horizontal="center" vertical="center"/>
    </xf>
    <xf numFmtId="0" fontId="0" fillId="4" borderId="10" xfId="0" applyFill="1" applyBorder="1" applyAlignment="1">
      <alignment horizontal="center" vertical="center"/>
    </xf>
    <xf numFmtId="16" fontId="0" fillId="4" borderId="11" xfId="0" applyNumberFormat="1" applyFill="1" applyBorder="1" applyAlignment="1">
      <alignment horizontal="center" vertical="center" wrapText="1"/>
    </xf>
    <xf numFmtId="0" fontId="0" fillId="4" borderId="0" xfId="0" applyFill="1" applyBorder="1" applyAlignment="1">
      <alignment horizontal="left" vertical="center"/>
    </xf>
    <xf numFmtId="0" fontId="0" fillId="0" borderId="0" xfId="0" applyAlignment="1">
      <alignment wrapText="1"/>
    </xf>
    <xf numFmtId="0" fontId="0" fillId="0" borderId="3" xfId="0" applyBorder="1"/>
    <xf numFmtId="0" fontId="0" fillId="0" borderId="4" xfId="0" applyBorder="1"/>
    <xf numFmtId="0" fontId="0" fillId="0" borderId="0" xfId="0" applyBorder="1"/>
    <xf numFmtId="0" fontId="0" fillId="0" borderId="5" xfId="0" applyBorder="1" applyAlignment="1">
      <alignment wrapText="1"/>
    </xf>
    <xf numFmtId="0" fontId="0" fillId="0" borderId="7" xfId="0" applyBorder="1" applyAlignment="1">
      <alignment wrapText="1"/>
    </xf>
    <xf numFmtId="0" fontId="0" fillId="0" borderId="14" xfId="0" applyBorder="1" applyAlignment="1">
      <alignment wrapText="1"/>
    </xf>
    <xf numFmtId="0" fontId="0" fillId="0" borderId="15" xfId="0" applyBorder="1" applyAlignment="1">
      <alignment wrapText="1"/>
    </xf>
    <xf numFmtId="0" fontId="0" fillId="0" borderId="15" xfId="0" applyBorder="1"/>
    <xf numFmtId="0" fontId="0" fillId="0" borderId="14" xfId="0" applyBorder="1" applyAlignment="1">
      <alignment horizontal="left" wrapText="1"/>
    </xf>
    <xf numFmtId="0" fontId="0" fillId="0" borderId="10" xfId="0" applyBorder="1"/>
    <xf numFmtId="0" fontId="2" fillId="0" borderId="10" xfId="1" applyBorder="1" applyAlignment="1">
      <alignment wrapText="1"/>
    </xf>
    <xf numFmtId="0" fontId="5" fillId="0" borderId="3" xfId="0" applyFont="1" applyBorder="1"/>
    <xf numFmtId="0" fontId="5" fillId="0" borderId="1" xfId="0" applyFont="1" applyBorder="1"/>
    <xf numFmtId="0" fontId="0" fillId="0" borderId="8" xfId="0" applyBorder="1"/>
    <xf numFmtId="0" fontId="5" fillId="0" borderId="1" xfId="0" applyFont="1" applyFill="1" applyBorder="1"/>
    <xf numFmtId="0" fontId="5" fillId="0" borderId="4" xfId="0" applyFont="1" applyFill="1" applyBorder="1"/>
    <xf numFmtId="0" fontId="2" fillId="0" borderId="6" xfId="1" applyBorder="1"/>
    <xf numFmtId="0" fontId="2" fillId="0" borderId="9" xfId="1" applyBorder="1"/>
    <xf numFmtId="0" fontId="2" fillId="0" borderId="3" xfId="1" applyBorder="1"/>
    <xf numFmtId="0" fontId="2" fillId="0" borderId="4" xfId="1" applyBorder="1"/>
    <xf numFmtId="0" fontId="2" fillId="0" borderId="5" xfId="1" applyBorder="1"/>
    <xf numFmtId="0" fontId="2" fillId="0" borderId="7" xfId="1" applyBorder="1"/>
    <xf numFmtId="16" fontId="0" fillId="0" borderId="0" xfId="0" quotePrefix="1" applyNumberFormat="1"/>
    <xf numFmtId="0" fontId="0" fillId="4" borderId="10" xfId="0" applyFill="1" applyBorder="1" applyProtection="1">
      <protection locked="0"/>
    </xf>
    <xf numFmtId="0" fontId="0" fillId="4" borderId="0" xfId="0" applyFill="1" applyProtection="1">
      <protection locked="0"/>
    </xf>
    <xf numFmtId="0" fontId="0" fillId="4" borderId="10" xfId="0" applyFill="1" applyBorder="1" applyAlignment="1" applyProtection="1">
      <alignment horizontal="center" vertical="center"/>
      <protection locked="0"/>
    </xf>
    <xf numFmtId="0" fontId="0" fillId="0" borderId="16" xfId="0" applyBorder="1"/>
    <xf numFmtId="0" fontId="0" fillId="0" borderId="7" xfId="0" applyFill="1" applyBorder="1"/>
    <xf numFmtId="0" fontId="9" fillId="4" borderId="10" xfId="0" applyFont="1" applyFill="1" applyBorder="1" applyProtection="1">
      <protection locked="0"/>
    </xf>
    <xf numFmtId="0" fontId="5" fillId="0" borderId="10" xfId="0" applyFont="1" applyBorder="1"/>
    <xf numFmtId="0" fontId="5" fillId="0" borderId="12" xfId="0" applyFont="1" applyFill="1" applyBorder="1"/>
    <xf numFmtId="0" fontId="5" fillId="0" borderId="0" xfId="0" applyFont="1"/>
    <xf numFmtId="0" fontId="5" fillId="0" borderId="10" xfId="0" applyFont="1" applyFill="1" applyBorder="1"/>
    <xf numFmtId="0" fontId="0" fillId="4" borderId="5" xfId="0" applyFill="1" applyBorder="1" applyAlignment="1">
      <alignment horizontal="center" vertical="top"/>
    </xf>
    <xf numFmtId="0" fontId="0" fillId="0" borderId="0" xfId="0" applyAlignment="1">
      <alignment horizontal="center"/>
    </xf>
    <xf numFmtId="16" fontId="0" fillId="0" borderId="0" xfId="0" quotePrefix="1" applyNumberFormat="1" applyAlignment="1">
      <alignment horizontal="center"/>
    </xf>
    <xf numFmtId="17" fontId="0" fillId="0" borderId="0" xfId="0" quotePrefix="1" applyNumberFormat="1" applyAlignment="1">
      <alignment horizontal="center"/>
    </xf>
    <xf numFmtId="0" fontId="0" fillId="0" borderId="0" xfId="0" quotePrefix="1" applyAlignment="1">
      <alignment horizontal="center"/>
    </xf>
    <xf numFmtId="0" fontId="5" fillId="0" borderId="0" xfId="0" applyFont="1" applyFill="1" applyBorder="1"/>
    <xf numFmtId="0" fontId="0" fillId="0" borderId="0" xfId="0" applyFont="1" applyFill="1" applyBorder="1" applyAlignment="1">
      <alignment horizontal="center"/>
    </xf>
    <xf numFmtId="0" fontId="0" fillId="0" borderId="6" xfId="0" applyFont="1" applyFill="1" applyBorder="1" applyAlignment="1">
      <alignment horizontal="center"/>
    </xf>
    <xf numFmtId="0" fontId="0" fillId="0" borderId="8" xfId="0" applyFont="1" applyFill="1" applyBorder="1" applyAlignment="1">
      <alignment horizontal="center"/>
    </xf>
    <xf numFmtId="0" fontId="0" fillId="0" borderId="9" xfId="0" applyFont="1" applyFill="1" applyBorder="1" applyAlignment="1">
      <alignment horizontal="center"/>
    </xf>
    <xf numFmtId="0" fontId="2" fillId="0" borderId="5" xfId="1" applyBorder="1" applyAlignment="1">
      <alignment horizontal="left"/>
    </xf>
    <xf numFmtId="0" fontId="2" fillId="0" borderId="0" xfId="1" applyBorder="1" applyAlignment="1">
      <alignment horizontal="left"/>
    </xf>
    <xf numFmtId="0" fontId="2" fillId="0" borderId="7" xfId="1" applyBorder="1" applyAlignment="1">
      <alignment horizontal="left"/>
    </xf>
    <xf numFmtId="0" fontId="2" fillId="0" borderId="8" xfId="1" applyBorder="1" applyAlignment="1">
      <alignment horizontal="left"/>
    </xf>
    <xf numFmtId="0" fontId="4" fillId="5" borderId="0" xfId="1" applyFont="1" applyFill="1" applyAlignment="1">
      <alignment horizontal="left"/>
    </xf>
    <xf numFmtId="0" fontId="2" fillId="0" borderId="3" xfId="1" applyBorder="1" applyAlignment="1">
      <alignment horizontal="left"/>
    </xf>
    <xf numFmtId="0" fontId="2" fillId="0" borderId="1" xfId="1" applyBorder="1" applyAlignment="1">
      <alignment horizontal="left"/>
    </xf>
    <xf numFmtId="0" fontId="1" fillId="5" borderId="0" xfId="0" applyFont="1" applyFill="1" applyAlignment="1">
      <alignment horizontal="left"/>
    </xf>
    <xf numFmtId="0" fontId="0" fillId="0" borderId="1" xfId="0" applyFont="1" applyFill="1" applyBorder="1" applyAlignment="1">
      <alignment horizontal="center"/>
    </xf>
    <xf numFmtId="0" fontId="0" fillId="0" borderId="4" xfId="0" applyFont="1" applyFill="1" applyBorder="1" applyAlignment="1">
      <alignment horizontal="center"/>
    </xf>
    <xf numFmtId="0" fontId="5" fillId="4" borderId="14" xfId="0" applyFont="1" applyFill="1" applyBorder="1" applyAlignment="1">
      <alignment horizontal="center" vertical="center"/>
    </xf>
    <xf numFmtId="0" fontId="5" fillId="4" borderId="15" xfId="0" applyFont="1" applyFill="1" applyBorder="1" applyAlignment="1">
      <alignment horizontal="center" vertical="center"/>
    </xf>
    <xf numFmtId="0" fontId="0" fillId="4" borderId="3" xfId="0" applyFont="1" applyFill="1" applyBorder="1" applyAlignment="1">
      <alignment horizontal="center" vertical="center"/>
    </xf>
    <xf numFmtId="0" fontId="0" fillId="4" borderId="4" xfId="0" applyFont="1" applyFill="1" applyBorder="1" applyAlignment="1">
      <alignment horizontal="center" vertical="center"/>
    </xf>
    <xf numFmtId="0" fontId="0" fillId="4" borderId="10" xfId="0" applyFill="1" applyBorder="1" applyAlignment="1">
      <alignment vertical="center" wrapText="1"/>
    </xf>
    <xf numFmtId="0" fontId="0" fillId="4" borderId="14" xfId="0" applyFill="1" applyBorder="1" applyAlignment="1">
      <alignment horizontal="center"/>
    </xf>
    <xf numFmtId="0" fontId="0" fillId="4" borderId="15" xfId="0" applyFill="1" applyBorder="1" applyAlignment="1">
      <alignment horizontal="center"/>
    </xf>
    <xf numFmtId="0" fontId="5" fillId="4" borderId="2" xfId="0" applyFont="1" applyFill="1" applyBorder="1" applyAlignment="1">
      <alignment horizontal="center" vertical="center"/>
    </xf>
    <xf numFmtId="0" fontId="0" fillId="4" borderId="3" xfId="0" applyFont="1" applyFill="1" applyBorder="1" applyAlignment="1">
      <alignment horizontal="center" vertical="center" wrapText="1"/>
    </xf>
    <xf numFmtId="0" fontId="0" fillId="4" borderId="1" xfId="0" applyFont="1" applyFill="1" applyBorder="1" applyAlignment="1">
      <alignment horizontal="center" vertical="center"/>
    </xf>
    <xf numFmtId="16" fontId="0" fillId="4" borderId="10" xfId="0" applyNumberFormat="1" applyFill="1" applyBorder="1" applyAlignment="1">
      <alignment horizontal="center" vertical="center"/>
    </xf>
    <xf numFmtId="0" fontId="0" fillId="4" borderId="10" xfId="0" applyFill="1" applyBorder="1" applyAlignment="1" applyProtection="1">
      <protection locked="0"/>
    </xf>
    <xf numFmtId="0" fontId="0" fillId="4" borderId="14" xfId="0" applyFill="1" applyBorder="1" applyAlignment="1">
      <alignment horizontal="center" vertical="center"/>
    </xf>
    <xf numFmtId="0" fontId="0" fillId="4" borderId="2" xfId="0" applyFill="1" applyBorder="1" applyAlignment="1">
      <alignment horizontal="center" vertical="center"/>
    </xf>
    <xf numFmtId="0" fontId="0" fillId="4" borderId="15" xfId="0" applyFill="1" applyBorder="1" applyAlignment="1">
      <alignment horizontal="center" vertical="center"/>
    </xf>
    <xf numFmtId="0" fontId="0" fillId="4" borderId="0" xfId="0" applyFill="1" applyBorder="1" applyAlignment="1">
      <alignment vertical="center" wrapText="1"/>
    </xf>
    <xf numFmtId="0" fontId="0" fillId="4" borderId="0" xfId="0" applyFill="1" applyBorder="1" applyAlignment="1">
      <alignment horizontal="center"/>
    </xf>
    <xf numFmtId="0" fontId="0" fillId="4" borderId="1"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0" xfId="0" applyFont="1" applyFill="1" applyBorder="1" applyAlignment="1">
      <alignment horizontal="center" vertical="center" wrapText="1"/>
    </xf>
    <xf numFmtId="0" fontId="0" fillId="4" borderId="0" xfId="0" applyFont="1" applyFill="1" applyBorder="1" applyAlignment="1">
      <alignment horizontal="center" vertical="center"/>
    </xf>
    <xf numFmtId="16" fontId="0" fillId="4" borderId="0" xfId="0" applyNumberFormat="1" applyFill="1" applyBorder="1" applyAlignment="1">
      <alignment horizontal="center" vertical="center"/>
    </xf>
    <xf numFmtId="0" fontId="0" fillId="4" borderId="14" xfId="0" applyFill="1" applyBorder="1" applyAlignment="1">
      <alignment vertical="center"/>
    </xf>
    <xf numFmtId="0" fontId="0" fillId="4" borderId="2" xfId="0" applyFill="1" applyBorder="1" applyAlignment="1">
      <alignment vertical="center"/>
    </xf>
    <xf numFmtId="0" fontId="0" fillId="4" borderId="15" xfId="0" applyFill="1" applyBorder="1" applyAlignment="1">
      <alignment vertical="center"/>
    </xf>
    <xf numFmtId="0" fontId="0" fillId="4" borderId="5" xfId="0" applyFill="1" applyBorder="1" applyAlignment="1">
      <alignment horizontal="center" vertical="center"/>
    </xf>
    <xf numFmtId="0" fontId="0" fillId="4" borderId="0" xfId="0" applyFill="1" applyBorder="1" applyAlignment="1">
      <alignment horizontal="center" vertical="center"/>
    </xf>
    <xf numFmtId="0" fontId="0" fillId="4" borderId="6" xfId="0" applyFill="1" applyBorder="1" applyAlignment="1">
      <alignment horizontal="center" vertical="center"/>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alignment horizontal="center"/>
    </xf>
    <xf numFmtId="0" fontId="0" fillId="0" borderId="4" xfId="0" applyBorder="1" applyAlignment="1">
      <alignment horizontal="center"/>
    </xf>
  </cellXfs>
  <cellStyles count="2">
    <cellStyle name="Normal" xfId="0" builtinId="0"/>
    <cellStyle name="Normal 2" xfId="1"/>
  </cellStyles>
  <dxfs count="4">
    <dxf>
      <font>
        <color theme="0"/>
      </font>
      <fill>
        <patternFill>
          <bgColor rgb="FF283897"/>
        </patternFill>
      </fill>
    </dxf>
    <dxf>
      <fill>
        <patternFill>
          <bgColor rgb="FF3CDCC8"/>
        </patternFill>
      </fill>
    </dxf>
    <dxf>
      <fill>
        <patternFill>
          <bgColor rgb="FFD3D0C9"/>
        </patternFill>
      </fill>
    </dxf>
    <dxf>
      <font>
        <color theme="0"/>
      </font>
      <fill>
        <patternFill>
          <bgColor rgb="FFFF0000"/>
        </patternFill>
      </fill>
    </dxf>
  </dxfs>
  <tableStyles count="0" defaultTableStyle="TableStyleMedium2" defaultPivotStyle="PivotStyleLight16"/>
  <colors>
    <mruColors>
      <color rgb="FF65676A"/>
      <color rgb="FF283897"/>
      <color rgb="FFD3D0C9"/>
      <color rgb="FF2A295C"/>
      <color rgb="FF3CDC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50-EC42-11CE-9E0D-00AA006002F3}" ax:persistence="persistStreamInit" r:id="rId1"/>
</file>

<file path=xl/activeX/activeX60.xml><?xml version="1.0" encoding="utf-8"?>
<ax:ocx xmlns:ax="http://schemas.microsoft.com/office/2006/activeX" xmlns:r="http://schemas.openxmlformats.org/officeDocument/2006/relationships" ax:classid="{8BD21D5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50-EC42-11CE-9E0D-00AA006002F3}"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50-EC42-11CE-9E0D-00AA006002F3}" ax:persistence="persistStreamInit" r:id="rId1"/>
</file>

<file path=xl/activeX/activeX85.xml><?xml version="1.0" encoding="utf-8"?>
<ax:ocx xmlns:ax="http://schemas.microsoft.com/office/2006/activeX" xmlns:r="http://schemas.openxmlformats.org/officeDocument/2006/relationships" ax:classid="{8BD21D50-EC42-11CE-9E0D-00AA006002F3}" ax:persistence="persistStreamInit" r:id="rId1"/>
</file>

<file path=xl/activeX/activeX86.xml><?xml version="1.0" encoding="utf-8"?>
<ax:ocx xmlns:ax="http://schemas.microsoft.com/office/2006/activeX" xmlns:r="http://schemas.openxmlformats.org/officeDocument/2006/relationships" ax:classid="{8BD21D50-EC42-11CE-9E0D-00AA006002F3}" ax:persistence="persistStreamInit" r:id="rId1"/>
</file>

<file path=xl/activeX/activeX87.xml><?xml version="1.0" encoding="utf-8"?>
<ax:ocx xmlns:ax="http://schemas.microsoft.com/office/2006/activeX" xmlns:r="http://schemas.openxmlformats.org/officeDocument/2006/relationships" ax:classid="{8BD21D50-EC42-11CE-9E0D-00AA006002F3}" ax:persistence="persistStreamInit" r:id="rId1"/>
</file>

<file path=xl/activeX/activeX88.xml><?xml version="1.0" encoding="utf-8"?>
<ax:ocx xmlns:ax="http://schemas.microsoft.com/office/2006/activeX" xmlns:r="http://schemas.openxmlformats.org/officeDocument/2006/relationships" ax:classid="{8BD21D5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9.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xdr:col>
      <xdr:colOff>38100</xdr:colOff>
      <xdr:row>1</xdr:row>
      <xdr:rowOff>57150</xdr:rowOff>
    </xdr:from>
    <xdr:to>
      <xdr:col>6</xdr:col>
      <xdr:colOff>561975</xdr:colOff>
      <xdr:row>6</xdr:row>
      <xdr:rowOff>47625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23900" y="238125"/>
          <a:ext cx="3952875"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baseline="0"/>
            <a:t>Sodexo Project Management Framework</a:t>
          </a:r>
        </a:p>
        <a:p>
          <a:pPr algn="ctr"/>
          <a:r>
            <a:rPr lang="en-GB" sz="1600" b="1" baseline="0"/>
            <a:t>Personal Learning Plan</a:t>
          </a:r>
        </a:p>
        <a:p>
          <a:pPr algn="ctr"/>
          <a:r>
            <a:rPr lang="en-GB" sz="1600" b="1" baseline="0"/>
            <a:t>Designer</a:t>
          </a:r>
          <a:endParaRPr lang="en-GB" sz="1600" b="1"/>
        </a:p>
      </xdr:txBody>
    </xdr:sp>
    <xdr:clientData/>
  </xdr:twoCellAnchor>
  <xdr:twoCellAnchor>
    <xdr:from>
      <xdr:col>1</xdr:col>
      <xdr:colOff>38100</xdr:colOff>
      <xdr:row>7</xdr:row>
      <xdr:rowOff>28576</xdr:rowOff>
    </xdr:from>
    <xdr:to>
      <xdr:col>6</xdr:col>
      <xdr:colOff>561900</xdr:colOff>
      <xdr:row>33</xdr:row>
      <xdr:rowOff>66676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23900" y="1295401"/>
          <a:ext cx="3952800" cy="474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a:solidFill>
                <a:schemeClr val="dk1"/>
              </a:solidFill>
              <a:latin typeface="+mn-lt"/>
              <a:ea typeface="+mn-ea"/>
              <a:cs typeface="+mn-cs"/>
            </a:rPr>
            <a:t>Instructions for use.</a:t>
          </a:r>
          <a:endParaRPr lang="en-GB" sz="1100"/>
        </a:p>
        <a:p>
          <a:r>
            <a:rPr lang="en-GB" sz="1100"/>
            <a:t>Type</a:t>
          </a:r>
          <a:r>
            <a:rPr lang="en-GB" sz="1100" baseline="0"/>
            <a:t> your name into the box below and click "Begin"</a:t>
          </a:r>
        </a:p>
        <a:p>
          <a:endParaRPr lang="en-GB" sz="1100" baseline="0"/>
        </a:p>
        <a:p>
          <a:r>
            <a:rPr lang="en-GB" sz="1100" baseline="0"/>
            <a:t>This will take you into the project management learning plan self-assessment tool to create your personal project management development plan.</a:t>
          </a:r>
        </a:p>
        <a:p>
          <a:endParaRPr lang="en-GB" sz="1100" baseline="0"/>
        </a:p>
        <a:p>
          <a:r>
            <a:rPr lang="en-GB" sz="1100" baseline="0"/>
            <a:t>In each section there will be a number of questions to answer, please give honest responses that are as accurate as possible to help ensure that you build the best-fit development plan for your own needs</a:t>
          </a:r>
        </a:p>
        <a:p>
          <a:endParaRPr lang="en-GB" sz="1100" baseline="0"/>
        </a:p>
        <a:p>
          <a:r>
            <a:rPr lang="en-GB" sz="1200" b="0" baseline="0"/>
            <a:t>At the end of each page there is a save and continue button to progress to the next page. There is also a back button to allow you to go back to the previous page.</a:t>
          </a:r>
        </a:p>
        <a:p>
          <a:endParaRPr lang="en-GB" sz="1100"/>
        </a:p>
        <a:p>
          <a:r>
            <a:rPr lang="en-GB" sz="1100"/>
            <a:t>After completing the final page</a:t>
          </a:r>
          <a:r>
            <a:rPr lang="en-GB" sz="1100" baseline="0"/>
            <a:t>, click the "Submit" button to view your personal learning plan. Once you click the submit button it is no longer possible to revise your answers, so be sure you are happy that your answers are accurate before submitting.</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28</xdr:row>
          <xdr:rowOff>142875</xdr:rowOff>
        </xdr:from>
        <xdr:to>
          <xdr:col>6</xdr:col>
          <xdr:colOff>390525</xdr:colOff>
          <xdr:row>30</xdr:row>
          <xdr:rowOff>95250</xdr:rowOff>
        </xdr:to>
        <xdr:sp macro="" textlink="">
          <xdr:nvSpPr>
            <xdr:cNvPr id="1025" name="NameBox"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27</xdr:row>
          <xdr:rowOff>85725</xdr:rowOff>
        </xdr:from>
        <xdr:to>
          <xdr:col>2</xdr:col>
          <xdr:colOff>228600</xdr:colOff>
          <xdr:row>28</xdr:row>
          <xdr:rowOff>123825</xdr:rowOff>
        </xdr:to>
        <xdr:sp macro="" textlink="">
          <xdr:nvSpPr>
            <xdr:cNvPr id="1026" name="NameLabel"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666750</xdr:colOff>
          <xdr:row>30</xdr:row>
          <xdr:rowOff>123825</xdr:rowOff>
        </xdr:from>
        <xdr:to>
          <xdr:col>4</xdr:col>
          <xdr:colOff>381000</xdr:colOff>
          <xdr:row>32</xdr:row>
          <xdr:rowOff>104775</xdr:rowOff>
        </xdr:to>
        <xdr:sp macro="" textlink="">
          <xdr:nvSpPr>
            <xdr:cNvPr id="1027" name="BeginButt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685799</xdr:colOff>
      <xdr:row>2</xdr:row>
      <xdr:rowOff>0</xdr:rowOff>
    </xdr:from>
    <xdr:to>
      <xdr:col>6</xdr:col>
      <xdr:colOff>990599</xdr:colOff>
      <xdr:row>6</xdr:row>
      <xdr:rowOff>171450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85799" y="361950"/>
          <a:ext cx="4467225"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baseline="0"/>
            <a:t>Sodexo Project Management Framework</a:t>
          </a:r>
        </a:p>
        <a:p>
          <a:pPr algn="ctr"/>
          <a:r>
            <a:rPr lang="en-GB" sz="1600" b="1" baseline="0"/>
            <a:t>Personal Learning Plan</a:t>
          </a:r>
        </a:p>
        <a:p>
          <a:pPr algn="ctr"/>
          <a:r>
            <a:rPr lang="en-GB" sz="1600" b="1" baseline="0"/>
            <a:t>Creation tool - Result</a:t>
          </a:r>
          <a:endParaRPr lang="en-GB" sz="1600" b="1"/>
        </a:p>
      </xdr:txBody>
    </xdr:sp>
    <xdr:clientData/>
  </xdr:twoCellAnchor>
  <xdr:twoCellAnchor>
    <xdr:from>
      <xdr:col>1</xdr:col>
      <xdr:colOff>0</xdr:colOff>
      <xdr:row>8</xdr:row>
      <xdr:rowOff>1</xdr:rowOff>
    </xdr:from>
    <xdr:to>
      <xdr:col>7</xdr:col>
      <xdr:colOff>0</xdr:colOff>
      <xdr:row>10</xdr:row>
      <xdr:rowOff>57151</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85800" y="1447801"/>
          <a:ext cx="4410075"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1100"/>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6</xdr:col>
          <xdr:colOff>400050</xdr:colOff>
          <xdr:row>10</xdr:row>
          <xdr:rowOff>38100</xdr:rowOff>
        </xdr:to>
        <xdr:sp macro="" textlink="">
          <xdr:nvSpPr>
            <xdr:cNvPr id="2051" name="output_name"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9525</xdr:colOff>
          <xdr:row>5</xdr:row>
          <xdr:rowOff>0</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3</xdr:col>
          <xdr:colOff>9525</xdr:colOff>
          <xdr:row>10</xdr:row>
          <xdr:rowOff>0</xdr:rowOff>
        </xdr:to>
        <xdr:sp macro="" textlink="">
          <xdr:nvSpPr>
            <xdr:cNvPr id="3075" name="ComboBox2"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9525</xdr:colOff>
          <xdr:row>7</xdr:row>
          <xdr:rowOff>0</xdr:rowOff>
        </xdr:to>
        <xdr:sp macro="" textlink="">
          <xdr:nvSpPr>
            <xdr:cNvPr id="3077" name="ComboBox3"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2886075</xdr:colOff>
          <xdr:row>28</xdr:row>
          <xdr:rowOff>209550</xdr:rowOff>
        </xdr:from>
        <xdr:to>
          <xdr:col>2</xdr:col>
          <xdr:colOff>752475</xdr:colOff>
          <xdr:row>29</xdr:row>
          <xdr:rowOff>257175</xdr:rowOff>
        </xdr:to>
        <xdr:sp macro="" textlink="">
          <xdr:nvSpPr>
            <xdr:cNvPr id="3080" name="ContBut1"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3495675</xdr:colOff>
          <xdr:row>58</xdr:row>
          <xdr:rowOff>9525</xdr:rowOff>
        </xdr:from>
        <xdr:to>
          <xdr:col>3</xdr:col>
          <xdr:colOff>581025</xdr:colOff>
          <xdr:row>59</xdr:row>
          <xdr:rowOff>57150</xdr:rowOff>
        </xdr:to>
        <xdr:sp macro="" textlink="">
          <xdr:nvSpPr>
            <xdr:cNvPr id="9220" name="ContBut2"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11</xdr:row>
          <xdr:rowOff>123825</xdr:rowOff>
        </xdr:from>
        <xdr:to>
          <xdr:col>2</xdr:col>
          <xdr:colOff>523875</xdr:colOff>
          <xdr:row>11</xdr:row>
          <xdr:rowOff>323850</xdr:rowOff>
        </xdr:to>
        <xdr:sp macro="" textlink="">
          <xdr:nvSpPr>
            <xdr:cNvPr id="9224" name="twooneone"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11</xdr:row>
          <xdr:rowOff>123825</xdr:rowOff>
        </xdr:from>
        <xdr:to>
          <xdr:col>3</xdr:col>
          <xdr:colOff>523875</xdr:colOff>
          <xdr:row>11</xdr:row>
          <xdr:rowOff>323850</xdr:rowOff>
        </xdr:to>
        <xdr:sp macro="" textlink="">
          <xdr:nvSpPr>
            <xdr:cNvPr id="9225" name="twoonetwo" hidden="1">
              <a:extLst>
                <a:ext uri="{63B3BB69-23CF-44E3-9099-C40C66FF867C}">
                  <a14:compatExt spid="_x0000_s9225"/>
                </a:ext>
                <a:ext uri="{FF2B5EF4-FFF2-40B4-BE49-F238E27FC236}">
                  <a16:creationId xmlns:a16="http://schemas.microsoft.com/office/drawing/2014/main" id="{00000000-0008-0000-03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11</xdr:row>
          <xdr:rowOff>123825</xdr:rowOff>
        </xdr:from>
        <xdr:to>
          <xdr:col>4</xdr:col>
          <xdr:colOff>523875</xdr:colOff>
          <xdr:row>11</xdr:row>
          <xdr:rowOff>323850</xdr:rowOff>
        </xdr:to>
        <xdr:sp macro="" textlink="">
          <xdr:nvSpPr>
            <xdr:cNvPr id="9226" name="twoonethree" hidden="1">
              <a:extLst>
                <a:ext uri="{63B3BB69-23CF-44E3-9099-C40C66FF867C}">
                  <a14:compatExt spid="_x0000_s9226"/>
                </a:ext>
                <a:ext uri="{FF2B5EF4-FFF2-40B4-BE49-F238E27FC236}">
                  <a16:creationId xmlns:a16="http://schemas.microsoft.com/office/drawing/2014/main" id="{00000000-0008-0000-03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11</xdr:row>
          <xdr:rowOff>123825</xdr:rowOff>
        </xdr:from>
        <xdr:to>
          <xdr:col>5</xdr:col>
          <xdr:colOff>523875</xdr:colOff>
          <xdr:row>11</xdr:row>
          <xdr:rowOff>323850</xdr:rowOff>
        </xdr:to>
        <xdr:sp macro="" textlink="">
          <xdr:nvSpPr>
            <xdr:cNvPr id="9227" name="twoonefour" hidden="1">
              <a:extLst>
                <a:ext uri="{63B3BB69-23CF-44E3-9099-C40C66FF867C}">
                  <a14:compatExt spid="_x0000_s9227"/>
                </a:ext>
                <a:ext uri="{FF2B5EF4-FFF2-40B4-BE49-F238E27FC236}">
                  <a16:creationId xmlns:a16="http://schemas.microsoft.com/office/drawing/2014/main" id="{00000000-0008-0000-03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12</xdr:row>
          <xdr:rowOff>123825</xdr:rowOff>
        </xdr:from>
        <xdr:to>
          <xdr:col>2</xdr:col>
          <xdr:colOff>523875</xdr:colOff>
          <xdr:row>12</xdr:row>
          <xdr:rowOff>323850</xdr:rowOff>
        </xdr:to>
        <xdr:sp macro="" textlink="">
          <xdr:nvSpPr>
            <xdr:cNvPr id="9228" name="twotwoone" hidden="1">
              <a:extLst>
                <a:ext uri="{63B3BB69-23CF-44E3-9099-C40C66FF867C}">
                  <a14:compatExt spid="_x0000_s9228"/>
                </a:ext>
                <a:ext uri="{FF2B5EF4-FFF2-40B4-BE49-F238E27FC236}">
                  <a16:creationId xmlns:a16="http://schemas.microsoft.com/office/drawing/2014/main" id="{00000000-0008-0000-03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12</xdr:row>
          <xdr:rowOff>123825</xdr:rowOff>
        </xdr:from>
        <xdr:to>
          <xdr:col>3</xdr:col>
          <xdr:colOff>523875</xdr:colOff>
          <xdr:row>12</xdr:row>
          <xdr:rowOff>323850</xdr:rowOff>
        </xdr:to>
        <xdr:sp macro="" textlink="">
          <xdr:nvSpPr>
            <xdr:cNvPr id="9229" name="twotwotwo" hidden="1">
              <a:extLst>
                <a:ext uri="{63B3BB69-23CF-44E3-9099-C40C66FF867C}">
                  <a14:compatExt spid="_x0000_s9229"/>
                </a:ext>
                <a:ext uri="{FF2B5EF4-FFF2-40B4-BE49-F238E27FC236}">
                  <a16:creationId xmlns:a16="http://schemas.microsoft.com/office/drawing/2014/main" id="{00000000-0008-0000-03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12</xdr:row>
          <xdr:rowOff>123825</xdr:rowOff>
        </xdr:from>
        <xdr:to>
          <xdr:col>4</xdr:col>
          <xdr:colOff>523875</xdr:colOff>
          <xdr:row>12</xdr:row>
          <xdr:rowOff>323850</xdr:rowOff>
        </xdr:to>
        <xdr:sp macro="" textlink="">
          <xdr:nvSpPr>
            <xdr:cNvPr id="9230" name="twotwothree"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12</xdr:row>
          <xdr:rowOff>123825</xdr:rowOff>
        </xdr:from>
        <xdr:to>
          <xdr:col>5</xdr:col>
          <xdr:colOff>523875</xdr:colOff>
          <xdr:row>12</xdr:row>
          <xdr:rowOff>323850</xdr:rowOff>
        </xdr:to>
        <xdr:sp macro="" textlink="">
          <xdr:nvSpPr>
            <xdr:cNvPr id="9231" name="twotwofour" hidden="1">
              <a:extLst>
                <a:ext uri="{63B3BB69-23CF-44E3-9099-C40C66FF867C}">
                  <a14:compatExt spid="_x0000_s9231"/>
                </a:ext>
                <a:ext uri="{FF2B5EF4-FFF2-40B4-BE49-F238E27FC236}">
                  <a16:creationId xmlns:a16="http://schemas.microsoft.com/office/drawing/2014/main" id="{00000000-0008-0000-03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13</xdr:row>
          <xdr:rowOff>123825</xdr:rowOff>
        </xdr:from>
        <xdr:to>
          <xdr:col>2</xdr:col>
          <xdr:colOff>523875</xdr:colOff>
          <xdr:row>13</xdr:row>
          <xdr:rowOff>323850</xdr:rowOff>
        </xdr:to>
        <xdr:sp macro="" textlink="">
          <xdr:nvSpPr>
            <xdr:cNvPr id="9232" name="twothreeone"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13</xdr:row>
          <xdr:rowOff>123825</xdr:rowOff>
        </xdr:from>
        <xdr:to>
          <xdr:col>3</xdr:col>
          <xdr:colOff>523875</xdr:colOff>
          <xdr:row>13</xdr:row>
          <xdr:rowOff>323850</xdr:rowOff>
        </xdr:to>
        <xdr:sp macro="" textlink="">
          <xdr:nvSpPr>
            <xdr:cNvPr id="9233" name="twothreetwo"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13</xdr:row>
          <xdr:rowOff>123825</xdr:rowOff>
        </xdr:from>
        <xdr:to>
          <xdr:col>4</xdr:col>
          <xdr:colOff>523875</xdr:colOff>
          <xdr:row>13</xdr:row>
          <xdr:rowOff>323850</xdr:rowOff>
        </xdr:to>
        <xdr:sp macro="" textlink="">
          <xdr:nvSpPr>
            <xdr:cNvPr id="9234" name="twothreethree" hidden="1">
              <a:extLst>
                <a:ext uri="{63B3BB69-23CF-44E3-9099-C40C66FF867C}">
                  <a14:compatExt spid="_x0000_s9234"/>
                </a:ext>
                <a:ext uri="{FF2B5EF4-FFF2-40B4-BE49-F238E27FC236}">
                  <a16:creationId xmlns:a16="http://schemas.microsoft.com/office/drawing/2014/main" id="{00000000-0008-0000-03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13</xdr:row>
          <xdr:rowOff>123825</xdr:rowOff>
        </xdr:from>
        <xdr:to>
          <xdr:col>5</xdr:col>
          <xdr:colOff>523875</xdr:colOff>
          <xdr:row>13</xdr:row>
          <xdr:rowOff>323850</xdr:rowOff>
        </xdr:to>
        <xdr:sp macro="" textlink="">
          <xdr:nvSpPr>
            <xdr:cNvPr id="9235" name="twothreefour" hidden="1">
              <a:extLst>
                <a:ext uri="{63B3BB69-23CF-44E3-9099-C40C66FF867C}">
                  <a14:compatExt spid="_x0000_s9235"/>
                </a:ext>
                <a:ext uri="{FF2B5EF4-FFF2-40B4-BE49-F238E27FC236}">
                  <a16:creationId xmlns:a16="http://schemas.microsoft.com/office/drawing/2014/main" id="{00000000-0008-0000-0300-00001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14</xdr:row>
          <xdr:rowOff>123825</xdr:rowOff>
        </xdr:from>
        <xdr:to>
          <xdr:col>2</xdr:col>
          <xdr:colOff>523875</xdr:colOff>
          <xdr:row>14</xdr:row>
          <xdr:rowOff>323850</xdr:rowOff>
        </xdr:to>
        <xdr:sp macro="" textlink="">
          <xdr:nvSpPr>
            <xdr:cNvPr id="9236" name="twofourone" hidden="1">
              <a:extLst>
                <a:ext uri="{63B3BB69-23CF-44E3-9099-C40C66FF867C}">
                  <a14:compatExt spid="_x0000_s9236"/>
                </a:ext>
                <a:ext uri="{FF2B5EF4-FFF2-40B4-BE49-F238E27FC236}">
                  <a16:creationId xmlns:a16="http://schemas.microsoft.com/office/drawing/2014/main" id="{00000000-0008-0000-03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14</xdr:row>
          <xdr:rowOff>123825</xdr:rowOff>
        </xdr:from>
        <xdr:to>
          <xdr:col>3</xdr:col>
          <xdr:colOff>523875</xdr:colOff>
          <xdr:row>14</xdr:row>
          <xdr:rowOff>323850</xdr:rowOff>
        </xdr:to>
        <xdr:sp macro="" textlink="">
          <xdr:nvSpPr>
            <xdr:cNvPr id="9237" name="twofourtwo"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14</xdr:row>
          <xdr:rowOff>123825</xdr:rowOff>
        </xdr:from>
        <xdr:to>
          <xdr:col>4</xdr:col>
          <xdr:colOff>523875</xdr:colOff>
          <xdr:row>14</xdr:row>
          <xdr:rowOff>323850</xdr:rowOff>
        </xdr:to>
        <xdr:sp macro="" textlink="">
          <xdr:nvSpPr>
            <xdr:cNvPr id="9238" name="twofourthree"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14</xdr:row>
          <xdr:rowOff>123825</xdr:rowOff>
        </xdr:from>
        <xdr:to>
          <xdr:col>5</xdr:col>
          <xdr:colOff>523875</xdr:colOff>
          <xdr:row>14</xdr:row>
          <xdr:rowOff>323850</xdr:rowOff>
        </xdr:to>
        <xdr:sp macro="" textlink="">
          <xdr:nvSpPr>
            <xdr:cNvPr id="9239" name="twofourfour"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18</xdr:row>
          <xdr:rowOff>57150</xdr:rowOff>
        </xdr:from>
        <xdr:to>
          <xdr:col>5</xdr:col>
          <xdr:colOff>133350</xdr:colOff>
          <xdr:row>18</xdr:row>
          <xdr:rowOff>257175</xdr:rowOff>
        </xdr:to>
        <xdr:sp macro="" textlink="">
          <xdr:nvSpPr>
            <xdr:cNvPr id="9240" name="twofiveone"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19</xdr:row>
          <xdr:rowOff>57150</xdr:rowOff>
        </xdr:from>
        <xdr:to>
          <xdr:col>5</xdr:col>
          <xdr:colOff>133350</xdr:colOff>
          <xdr:row>19</xdr:row>
          <xdr:rowOff>257175</xdr:rowOff>
        </xdr:to>
        <xdr:sp macro="" textlink="">
          <xdr:nvSpPr>
            <xdr:cNvPr id="9241" name="twofivetwo"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20</xdr:row>
          <xdr:rowOff>57150</xdr:rowOff>
        </xdr:from>
        <xdr:to>
          <xdr:col>5</xdr:col>
          <xdr:colOff>133350</xdr:colOff>
          <xdr:row>20</xdr:row>
          <xdr:rowOff>257175</xdr:rowOff>
        </xdr:to>
        <xdr:sp macro="" textlink="">
          <xdr:nvSpPr>
            <xdr:cNvPr id="9242" name="twofivethree" hidden="1">
              <a:extLst>
                <a:ext uri="{63B3BB69-23CF-44E3-9099-C40C66FF867C}">
                  <a14:compatExt spid="_x0000_s9242"/>
                </a:ext>
                <a:ext uri="{FF2B5EF4-FFF2-40B4-BE49-F238E27FC236}">
                  <a16:creationId xmlns:a16="http://schemas.microsoft.com/office/drawing/2014/main" id="{00000000-0008-0000-03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21</xdr:row>
          <xdr:rowOff>57150</xdr:rowOff>
        </xdr:from>
        <xdr:to>
          <xdr:col>5</xdr:col>
          <xdr:colOff>133350</xdr:colOff>
          <xdr:row>21</xdr:row>
          <xdr:rowOff>257175</xdr:rowOff>
        </xdr:to>
        <xdr:sp macro="" textlink="">
          <xdr:nvSpPr>
            <xdr:cNvPr id="9243" name="twofivefour"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25</xdr:row>
          <xdr:rowOff>57150</xdr:rowOff>
        </xdr:from>
        <xdr:to>
          <xdr:col>5</xdr:col>
          <xdr:colOff>133350</xdr:colOff>
          <xdr:row>25</xdr:row>
          <xdr:rowOff>257175</xdr:rowOff>
        </xdr:to>
        <xdr:sp macro="" textlink="">
          <xdr:nvSpPr>
            <xdr:cNvPr id="9252" name="twosixone" hidden="1">
              <a:extLst>
                <a:ext uri="{63B3BB69-23CF-44E3-9099-C40C66FF867C}">
                  <a14:compatExt spid="_x0000_s9252"/>
                </a:ext>
                <a:ext uri="{FF2B5EF4-FFF2-40B4-BE49-F238E27FC236}">
                  <a16:creationId xmlns:a16="http://schemas.microsoft.com/office/drawing/2014/main" id="{00000000-0008-0000-0300-00002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26</xdr:row>
          <xdr:rowOff>57150</xdr:rowOff>
        </xdr:from>
        <xdr:to>
          <xdr:col>5</xdr:col>
          <xdr:colOff>133350</xdr:colOff>
          <xdr:row>26</xdr:row>
          <xdr:rowOff>257175</xdr:rowOff>
        </xdr:to>
        <xdr:sp macro="" textlink="">
          <xdr:nvSpPr>
            <xdr:cNvPr id="9253" name="twosixtwo" hidden="1">
              <a:extLst>
                <a:ext uri="{63B3BB69-23CF-44E3-9099-C40C66FF867C}">
                  <a14:compatExt spid="_x0000_s9253"/>
                </a:ext>
                <a:ext uri="{FF2B5EF4-FFF2-40B4-BE49-F238E27FC236}">
                  <a16:creationId xmlns:a16="http://schemas.microsoft.com/office/drawing/2014/main" id="{00000000-0008-0000-0300-00002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27</xdr:row>
          <xdr:rowOff>57150</xdr:rowOff>
        </xdr:from>
        <xdr:to>
          <xdr:col>5</xdr:col>
          <xdr:colOff>133350</xdr:colOff>
          <xdr:row>27</xdr:row>
          <xdr:rowOff>257175</xdr:rowOff>
        </xdr:to>
        <xdr:sp macro="" textlink="">
          <xdr:nvSpPr>
            <xdr:cNvPr id="9254" name="twosixthree" hidden="1">
              <a:extLst>
                <a:ext uri="{63B3BB69-23CF-44E3-9099-C40C66FF867C}">
                  <a14:compatExt spid="_x0000_s9254"/>
                </a:ext>
                <a:ext uri="{FF2B5EF4-FFF2-40B4-BE49-F238E27FC236}">
                  <a16:creationId xmlns:a16="http://schemas.microsoft.com/office/drawing/2014/main" id="{00000000-0008-0000-0300-00002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28</xdr:row>
          <xdr:rowOff>57150</xdr:rowOff>
        </xdr:from>
        <xdr:to>
          <xdr:col>5</xdr:col>
          <xdr:colOff>133350</xdr:colOff>
          <xdr:row>28</xdr:row>
          <xdr:rowOff>257175</xdr:rowOff>
        </xdr:to>
        <xdr:sp macro="" textlink="">
          <xdr:nvSpPr>
            <xdr:cNvPr id="9255" name="twosixfour" hidden="1">
              <a:extLst>
                <a:ext uri="{63B3BB69-23CF-44E3-9099-C40C66FF867C}">
                  <a14:compatExt spid="_x0000_s9255"/>
                </a:ext>
                <a:ext uri="{FF2B5EF4-FFF2-40B4-BE49-F238E27FC236}">
                  <a16:creationId xmlns:a16="http://schemas.microsoft.com/office/drawing/2014/main" id="{00000000-0008-0000-0300-00002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32</xdr:row>
          <xdr:rowOff>57150</xdr:rowOff>
        </xdr:from>
        <xdr:to>
          <xdr:col>5</xdr:col>
          <xdr:colOff>133350</xdr:colOff>
          <xdr:row>32</xdr:row>
          <xdr:rowOff>257175</xdr:rowOff>
        </xdr:to>
        <xdr:sp macro="" textlink="">
          <xdr:nvSpPr>
            <xdr:cNvPr id="9256" name="twosevenone" hidden="1">
              <a:extLst>
                <a:ext uri="{63B3BB69-23CF-44E3-9099-C40C66FF867C}">
                  <a14:compatExt spid="_x0000_s9256"/>
                </a:ext>
                <a:ext uri="{FF2B5EF4-FFF2-40B4-BE49-F238E27FC236}">
                  <a16:creationId xmlns:a16="http://schemas.microsoft.com/office/drawing/2014/main" id="{00000000-0008-0000-0300-00002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33</xdr:row>
          <xdr:rowOff>57150</xdr:rowOff>
        </xdr:from>
        <xdr:to>
          <xdr:col>5</xdr:col>
          <xdr:colOff>133350</xdr:colOff>
          <xdr:row>33</xdr:row>
          <xdr:rowOff>257175</xdr:rowOff>
        </xdr:to>
        <xdr:sp macro="" textlink="">
          <xdr:nvSpPr>
            <xdr:cNvPr id="9257" name="twoseventwo" hidden="1">
              <a:extLst>
                <a:ext uri="{63B3BB69-23CF-44E3-9099-C40C66FF867C}">
                  <a14:compatExt spid="_x0000_s9257"/>
                </a:ext>
                <a:ext uri="{FF2B5EF4-FFF2-40B4-BE49-F238E27FC236}">
                  <a16:creationId xmlns:a16="http://schemas.microsoft.com/office/drawing/2014/main" id="{00000000-0008-0000-0300-00002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34</xdr:row>
          <xdr:rowOff>57150</xdr:rowOff>
        </xdr:from>
        <xdr:to>
          <xdr:col>5</xdr:col>
          <xdr:colOff>133350</xdr:colOff>
          <xdr:row>34</xdr:row>
          <xdr:rowOff>257175</xdr:rowOff>
        </xdr:to>
        <xdr:sp macro="" textlink="">
          <xdr:nvSpPr>
            <xdr:cNvPr id="9258" name="twoseventhree" hidden="1">
              <a:extLst>
                <a:ext uri="{63B3BB69-23CF-44E3-9099-C40C66FF867C}">
                  <a14:compatExt spid="_x0000_s9258"/>
                </a:ext>
                <a:ext uri="{FF2B5EF4-FFF2-40B4-BE49-F238E27FC236}">
                  <a16:creationId xmlns:a16="http://schemas.microsoft.com/office/drawing/2014/main" id="{00000000-0008-0000-0300-00002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35</xdr:row>
          <xdr:rowOff>57150</xdr:rowOff>
        </xdr:from>
        <xdr:to>
          <xdr:col>5</xdr:col>
          <xdr:colOff>133350</xdr:colOff>
          <xdr:row>35</xdr:row>
          <xdr:rowOff>257175</xdr:rowOff>
        </xdr:to>
        <xdr:sp macro="" textlink="">
          <xdr:nvSpPr>
            <xdr:cNvPr id="9259" name="twosevenfour" hidden="1">
              <a:extLst>
                <a:ext uri="{63B3BB69-23CF-44E3-9099-C40C66FF867C}">
                  <a14:compatExt spid="_x0000_s9259"/>
                </a:ext>
                <a:ext uri="{FF2B5EF4-FFF2-40B4-BE49-F238E27FC236}">
                  <a16:creationId xmlns:a16="http://schemas.microsoft.com/office/drawing/2014/main" id="{00000000-0008-0000-0300-00002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39</xdr:row>
          <xdr:rowOff>57150</xdr:rowOff>
        </xdr:from>
        <xdr:to>
          <xdr:col>5</xdr:col>
          <xdr:colOff>133350</xdr:colOff>
          <xdr:row>39</xdr:row>
          <xdr:rowOff>257175</xdr:rowOff>
        </xdr:to>
        <xdr:sp macro="" textlink="">
          <xdr:nvSpPr>
            <xdr:cNvPr id="9260" name="twoeightone"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40</xdr:row>
          <xdr:rowOff>57150</xdr:rowOff>
        </xdr:from>
        <xdr:to>
          <xdr:col>5</xdr:col>
          <xdr:colOff>133350</xdr:colOff>
          <xdr:row>40</xdr:row>
          <xdr:rowOff>257175</xdr:rowOff>
        </xdr:to>
        <xdr:sp macro="" textlink="">
          <xdr:nvSpPr>
            <xdr:cNvPr id="9261" name="twoeighttwo"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41</xdr:row>
          <xdr:rowOff>57150</xdr:rowOff>
        </xdr:from>
        <xdr:to>
          <xdr:col>5</xdr:col>
          <xdr:colOff>133350</xdr:colOff>
          <xdr:row>41</xdr:row>
          <xdr:rowOff>257175</xdr:rowOff>
        </xdr:to>
        <xdr:sp macro="" textlink="">
          <xdr:nvSpPr>
            <xdr:cNvPr id="9262" name="twoeightthree"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42</xdr:row>
          <xdr:rowOff>57150</xdr:rowOff>
        </xdr:from>
        <xdr:to>
          <xdr:col>5</xdr:col>
          <xdr:colOff>133350</xdr:colOff>
          <xdr:row>42</xdr:row>
          <xdr:rowOff>257175</xdr:rowOff>
        </xdr:to>
        <xdr:sp macro="" textlink="">
          <xdr:nvSpPr>
            <xdr:cNvPr id="9263" name="twoeightfour"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46</xdr:row>
          <xdr:rowOff>57150</xdr:rowOff>
        </xdr:from>
        <xdr:to>
          <xdr:col>5</xdr:col>
          <xdr:colOff>133350</xdr:colOff>
          <xdr:row>46</xdr:row>
          <xdr:rowOff>257175</xdr:rowOff>
        </xdr:to>
        <xdr:sp macro="" textlink="">
          <xdr:nvSpPr>
            <xdr:cNvPr id="9264" name="twonineone"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47</xdr:row>
          <xdr:rowOff>57150</xdr:rowOff>
        </xdr:from>
        <xdr:to>
          <xdr:col>5</xdr:col>
          <xdr:colOff>133350</xdr:colOff>
          <xdr:row>47</xdr:row>
          <xdr:rowOff>257175</xdr:rowOff>
        </xdr:to>
        <xdr:sp macro="" textlink="">
          <xdr:nvSpPr>
            <xdr:cNvPr id="9265" name="twoninetwo"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48</xdr:row>
          <xdr:rowOff>57150</xdr:rowOff>
        </xdr:from>
        <xdr:to>
          <xdr:col>5</xdr:col>
          <xdr:colOff>133350</xdr:colOff>
          <xdr:row>48</xdr:row>
          <xdr:rowOff>257175</xdr:rowOff>
        </xdr:to>
        <xdr:sp macro="" textlink="">
          <xdr:nvSpPr>
            <xdr:cNvPr id="9266" name="twoninethree"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49</xdr:row>
          <xdr:rowOff>57150</xdr:rowOff>
        </xdr:from>
        <xdr:to>
          <xdr:col>5</xdr:col>
          <xdr:colOff>133350</xdr:colOff>
          <xdr:row>49</xdr:row>
          <xdr:rowOff>257175</xdr:rowOff>
        </xdr:to>
        <xdr:sp macro="" textlink="">
          <xdr:nvSpPr>
            <xdr:cNvPr id="9267" name="twoninefour" hidden="1">
              <a:extLst>
                <a:ext uri="{63B3BB69-23CF-44E3-9099-C40C66FF867C}">
                  <a14:compatExt spid="_x0000_s9267"/>
                </a:ext>
                <a:ext uri="{FF2B5EF4-FFF2-40B4-BE49-F238E27FC236}">
                  <a16:creationId xmlns:a16="http://schemas.microsoft.com/office/drawing/2014/main" id="{00000000-0008-0000-0300-00003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53</xdr:row>
          <xdr:rowOff>57150</xdr:rowOff>
        </xdr:from>
        <xdr:to>
          <xdr:col>5</xdr:col>
          <xdr:colOff>133350</xdr:colOff>
          <xdr:row>53</xdr:row>
          <xdr:rowOff>257175</xdr:rowOff>
        </xdr:to>
        <xdr:sp macro="" textlink="">
          <xdr:nvSpPr>
            <xdr:cNvPr id="9268" name="twotenone" hidden="1">
              <a:extLst>
                <a:ext uri="{63B3BB69-23CF-44E3-9099-C40C66FF867C}">
                  <a14:compatExt spid="_x0000_s9268"/>
                </a:ext>
                <a:ext uri="{FF2B5EF4-FFF2-40B4-BE49-F238E27FC236}">
                  <a16:creationId xmlns:a16="http://schemas.microsoft.com/office/drawing/2014/main" id="{00000000-0008-0000-0300-00003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54</xdr:row>
          <xdr:rowOff>57150</xdr:rowOff>
        </xdr:from>
        <xdr:to>
          <xdr:col>5</xdr:col>
          <xdr:colOff>133350</xdr:colOff>
          <xdr:row>54</xdr:row>
          <xdr:rowOff>257175</xdr:rowOff>
        </xdr:to>
        <xdr:sp macro="" textlink="">
          <xdr:nvSpPr>
            <xdr:cNvPr id="9269" name="twotentwo" hidden="1">
              <a:extLst>
                <a:ext uri="{63B3BB69-23CF-44E3-9099-C40C66FF867C}">
                  <a14:compatExt spid="_x0000_s9269"/>
                </a:ext>
                <a:ext uri="{FF2B5EF4-FFF2-40B4-BE49-F238E27FC236}">
                  <a16:creationId xmlns:a16="http://schemas.microsoft.com/office/drawing/2014/main" id="{00000000-0008-0000-0300-00003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55</xdr:row>
          <xdr:rowOff>57150</xdr:rowOff>
        </xdr:from>
        <xdr:to>
          <xdr:col>5</xdr:col>
          <xdr:colOff>133350</xdr:colOff>
          <xdr:row>55</xdr:row>
          <xdr:rowOff>257175</xdr:rowOff>
        </xdr:to>
        <xdr:sp macro="" textlink="">
          <xdr:nvSpPr>
            <xdr:cNvPr id="9270" name="twotenthree" hidden="1">
              <a:extLst>
                <a:ext uri="{63B3BB69-23CF-44E3-9099-C40C66FF867C}">
                  <a14:compatExt spid="_x0000_s9270"/>
                </a:ext>
                <a:ext uri="{FF2B5EF4-FFF2-40B4-BE49-F238E27FC236}">
                  <a16:creationId xmlns:a16="http://schemas.microsoft.com/office/drawing/2014/main" id="{00000000-0008-0000-0300-00003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56</xdr:row>
          <xdr:rowOff>57150</xdr:rowOff>
        </xdr:from>
        <xdr:to>
          <xdr:col>5</xdr:col>
          <xdr:colOff>133350</xdr:colOff>
          <xdr:row>56</xdr:row>
          <xdr:rowOff>257175</xdr:rowOff>
        </xdr:to>
        <xdr:sp macro="" textlink="">
          <xdr:nvSpPr>
            <xdr:cNvPr id="9271" name="twotenfour" hidden="1">
              <a:extLst>
                <a:ext uri="{63B3BB69-23CF-44E3-9099-C40C66FF867C}">
                  <a14:compatExt spid="_x0000_s9271"/>
                </a:ext>
                <a:ext uri="{FF2B5EF4-FFF2-40B4-BE49-F238E27FC236}">
                  <a16:creationId xmlns:a16="http://schemas.microsoft.com/office/drawing/2014/main" id="{00000000-0008-0000-0300-00003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1695450</xdr:colOff>
          <xdr:row>58</xdr:row>
          <xdr:rowOff>9525</xdr:rowOff>
        </xdr:from>
        <xdr:to>
          <xdr:col>1</xdr:col>
          <xdr:colOff>3419475</xdr:colOff>
          <xdr:row>59</xdr:row>
          <xdr:rowOff>57150</xdr:rowOff>
        </xdr:to>
        <xdr:sp macro="" textlink="">
          <xdr:nvSpPr>
            <xdr:cNvPr id="9272" name="BackButtonTwo" hidden="1">
              <a:extLst>
                <a:ext uri="{63B3BB69-23CF-44E3-9099-C40C66FF867C}">
                  <a14:compatExt spid="_x0000_s9272"/>
                </a:ext>
                <a:ext uri="{FF2B5EF4-FFF2-40B4-BE49-F238E27FC236}">
                  <a16:creationId xmlns:a16="http://schemas.microsoft.com/office/drawing/2014/main" id="{00000000-0008-0000-0300-00003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3686175</xdr:colOff>
          <xdr:row>34</xdr:row>
          <xdr:rowOff>152400</xdr:rowOff>
        </xdr:from>
        <xdr:to>
          <xdr:col>3</xdr:col>
          <xdr:colOff>657225</xdr:colOff>
          <xdr:row>35</xdr:row>
          <xdr:rowOff>200025</xdr:rowOff>
        </xdr:to>
        <xdr:sp macro="" textlink="">
          <xdr:nvSpPr>
            <xdr:cNvPr id="10241" name="ContBut3"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18</xdr:row>
          <xdr:rowOff>123825</xdr:rowOff>
        </xdr:from>
        <xdr:to>
          <xdr:col>2</xdr:col>
          <xdr:colOff>523875</xdr:colOff>
          <xdr:row>18</xdr:row>
          <xdr:rowOff>323850</xdr:rowOff>
        </xdr:to>
        <xdr:sp macro="" textlink="">
          <xdr:nvSpPr>
            <xdr:cNvPr id="10242" name="threeoneone"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18</xdr:row>
          <xdr:rowOff>123825</xdr:rowOff>
        </xdr:from>
        <xdr:to>
          <xdr:col>3</xdr:col>
          <xdr:colOff>523875</xdr:colOff>
          <xdr:row>18</xdr:row>
          <xdr:rowOff>323850</xdr:rowOff>
        </xdr:to>
        <xdr:sp macro="" textlink="">
          <xdr:nvSpPr>
            <xdr:cNvPr id="10243" name="threeonetwo"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18</xdr:row>
          <xdr:rowOff>123825</xdr:rowOff>
        </xdr:from>
        <xdr:to>
          <xdr:col>4</xdr:col>
          <xdr:colOff>523875</xdr:colOff>
          <xdr:row>18</xdr:row>
          <xdr:rowOff>323850</xdr:rowOff>
        </xdr:to>
        <xdr:sp macro="" textlink="">
          <xdr:nvSpPr>
            <xdr:cNvPr id="10244" name="threeonethree" hidden="1">
              <a:extLst>
                <a:ext uri="{63B3BB69-23CF-44E3-9099-C40C66FF867C}">
                  <a14:compatExt spid="_x0000_s10244"/>
                </a:ext>
                <a:ext uri="{FF2B5EF4-FFF2-40B4-BE49-F238E27FC236}">
                  <a16:creationId xmlns:a16="http://schemas.microsoft.com/office/drawing/2014/main" id="{00000000-0008-0000-04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18</xdr:row>
          <xdr:rowOff>123825</xdr:rowOff>
        </xdr:from>
        <xdr:to>
          <xdr:col>5</xdr:col>
          <xdr:colOff>523875</xdr:colOff>
          <xdr:row>18</xdr:row>
          <xdr:rowOff>323850</xdr:rowOff>
        </xdr:to>
        <xdr:sp macro="" textlink="">
          <xdr:nvSpPr>
            <xdr:cNvPr id="10245" name="threeonefour" hidden="1">
              <a:extLst>
                <a:ext uri="{63B3BB69-23CF-44E3-9099-C40C66FF867C}">
                  <a14:compatExt spid="_x0000_s10245"/>
                </a:ext>
                <a:ext uri="{FF2B5EF4-FFF2-40B4-BE49-F238E27FC236}">
                  <a16:creationId xmlns:a16="http://schemas.microsoft.com/office/drawing/2014/main" id="{00000000-0008-0000-04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23</xdr:row>
          <xdr:rowOff>123825</xdr:rowOff>
        </xdr:from>
        <xdr:to>
          <xdr:col>2</xdr:col>
          <xdr:colOff>523875</xdr:colOff>
          <xdr:row>23</xdr:row>
          <xdr:rowOff>323850</xdr:rowOff>
        </xdr:to>
        <xdr:sp macro="" textlink="">
          <xdr:nvSpPr>
            <xdr:cNvPr id="10246" name="threesixone" hidden="1">
              <a:extLst>
                <a:ext uri="{63B3BB69-23CF-44E3-9099-C40C66FF867C}">
                  <a14:compatExt spid="_x0000_s10246"/>
                </a:ext>
                <a:ext uri="{FF2B5EF4-FFF2-40B4-BE49-F238E27FC236}">
                  <a16:creationId xmlns:a16="http://schemas.microsoft.com/office/drawing/2014/main" id="{00000000-0008-0000-04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23</xdr:row>
          <xdr:rowOff>123825</xdr:rowOff>
        </xdr:from>
        <xdr:to>
          <xdr:col>3</xdr:col>
          <xdr:colOff>523875</xdr:colOff>
          <xdr:row>23</xdr:row>
          <xdr:rowOff>323850</xdr:rowOff>
        </xdr:to>
        <xdr:sp macro="" textlink="">
          <xdr:nvSpPr>
            <xdr:cNvPr id="10247" name="threesixtwo" hidden="1">
              <a:extLst>
                <a:ext uri="{63B3BB69-23CF-44E3-9099-C40C66FF867C}">
                  <a14:compatExt spid="_x0000_s10247"/>
                </a:ext>
                <a:ext uri="{FF2B5EF4-FFF2-40B4-BE49-F238E27FC236}">
                  <a16:creationId xmlns:a16="http://schemas.microsoft.com/office/drawing/2014/main" id="{00000000-0008-0000-04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23</xdr:row>
          <xdr:rowOff>123825</xdr:rowOff>
        </xdr:from>
        <xdr:to>
          <xdr:col>4</xdr:col>
          <xdr:colOff>523875</xdr:colOff>
          <xdr:row>23</xdr:row>
          <xdr:rowOff>323850</xdr:rowOff>
        </xdr:to>
        <xdr:sp macro="" textlink="">
          <xdr:nvSpPr>
            <xdr:cNvPr id="10248" name="threesixthree"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23</xdr:row>
          <xdr:rowOff>123825</xdr:rowOff>
        </xdr:from>
        <xdr:to>
          <xdr:col>5</xdr:col>
          <xdr:colOff>523875</xdr:colOff>
          <xdr:row>23</xdr:row>
          <xdr:rowOff>323850</xdr:rowOff>
        </xdr:to>
        <xdr:sp macro="" textlink="">
          <xdr:nvSpPr>
            <xdr:cNvPr id="10249" name="threesixfour" hidden="1">
              <a:extLst>
                <a:ext uri="{63B3BB69-23CF-44E3-9099-C40C66FF867C}">
                  <a14:compatExt spid="_x0000_s10249"/>
                </a:ext>
                <a:ext uri="{FF2B5EF4-FFF2-40B4-BE49-F238E27FC236}">
                  <a16:creationId xmlns:a16="http://schemas.microsoft.com/office/drawing/2014/main" id="{00000000-0008-0000-04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24</xdr:row>
          <xdr:rowOff>123825</xdr:rowOff>
        </xdr:from>
        <xdr:to>
          <xdr:col>2</xdr:col>
          <xdr:colOff>523875</xdr:colOff>
          <xdr:row>24</xdr:row>
          <xdr:rowOff>323850</xdr:rowOff>
        </xdr:to>
        <xdr:sp macro="" textlink="">
          <xdr:nvSpPr>
            <xdr:cNvPr id="10250" name="threesevenone" hidden="1">
              <a:extLst>
                <a:ext uri="{63B3BB69-23CF-44E3-9099-C40C66FF867C}">
                  <a14:compatExt spid="_x0000_s10250"/>
                </a:ext>
                <a:ext uri="{FF2B5EF4-FFF2-40B4-BE49-F238E27FC236}">
                  <a16:creationId xmlns:a16="http://schemas.microsoft.com/office/drawing/2014/main" id="{00000000-0008-0000-04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24</xdr:row>
          <xdr:rowOff>123825</xdr:rowOff>
        </xdr:from>
        <xdr:to>
          <xdr:col>3</xdr:col>
          <xdr:colOff>523875</xdr:colOff>
          <xdr:row>24</xdr:row>
          <xdr:rowOff>323850</xdr:rowOff>
        </xdr:to>
        <xdr:sp macro="" textlink="">
          <xdr:nvSpPr>
            <xdr:cNvPr id="10251" name="threeseventwo" hidden="1">
              <a:extLst>
                <a:ext uri="{63B3BB69-23CF-44E3-9099-C40C66FF867C}">
                  <a14:compatExt spid="_x0000_s10251"/>
                </a:ext>
                <a:ext uri="{FF2B5EF4-FFF2-40B4-BE49-F238E27FC236}">
                  <a16:creationId xmlns:a16="http://schemas.microsoft.com/office/drawing/2014/main" id="{00000000-0008-0000-04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24</xdr:row>
          <xdr:rowOff>123825</xdr:rowOff>
        </xdr:from>
        <xdr:to>
          <xdr:col>4</xdr:col>
          <xdr:colOff>523875</xdr:colOff>
          <xdr:row>24</xdr:row>
          <xdr:rowOff>323850</xdr:rowOff>
        </xdr:to>
        <xdr:sp macro="" textlink="">
          <xdr:nvSpPr>
            <xdr:cNvPr id="10252" name="threeseventhree" hidden="1">
              <a:extLst>
                <a:ext uri="{63B3BB69-23CF-44E3-9099-C40C66FF867C}">
                  <a14:compatExt spid="_x0000_s10252"/>
                </a:ext>
                <a:ext uri="{FF2B5EF4-FFF2-40B4-BE49-F238E27FC236}">
                  <a16:creationId xmlns:a16="http://schemas.microsoft.com/office/drawing/2014/main" id="{00000000-0008-0000-04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24</xdr:row>
          <xdr:rowOff>123825</xdr:rowOff>
        </xdr:from>
        <xdr:to>
          <xdr:col>5</xdr:col>
          <xdr:colOff>523875</xdr:colOff>
          <xdr:row>24</xdr:row>
          <xdr:rowOff>323850</xdr:rowOff>
        </xdr:to>
        <xdr:sp macro="" textlink="">
          <xdr:nvSpPr>
            <xdr:cNvPr id="10253" name="threesevenfour" hidden="1">
              <a:extLst>
                <a:ext uri="{63B3BB69-23CF-44E3-9099-C40C66FF867C}">
                  <a14:compatExt spid="_x0000_s10253"/>
                </a:ext>
                <a:ext uri="{FF2B5EF4-FFF2-40B4-BE49-F238E27FC236}">
                  <a16:creationId xmlns:a16="http://schemas.microsoft.com/office/drawing/2014/main" id="{00000000-0008-0000-04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25</xdr:row>
          <xdr:rowOff>123825</xdr:rowOff>
        </xdr:from>
        <xdr:to>
          <xdr:col>2</xdr:col>
          <xdr:colOff>523875</xdr:colOff>
          <xdr:row>25</xdr:row>
          <xdr:rowOff>323850</xdr:rowOff>
        </xdr:to>
        <xdr:sp macro="" textlink="">
          <xdr:nvSpPr>
            <xdr:cNvPr id="10254" name="threeeightone" hidden="1">
              <a:extLst>
                <a:ext uri="{63B3BB69-23CF-44E3-9099-C40C66FF867C}">
                  <a14:compatExt spid="_x0000_s10254"/>
                </a:ext>
                <a:ext uri="{FF2B5EF4-FFF2-40B4-BE49-F238E27FC236}">
                  <a16:creationId xmlns:a16="http://schemas.microsoft.com/office/drawing/2014/main" id="{00000000-0008-0000-04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25</xdr:row>
          <xdr:rowOff>123825</xdr:rowOff>
        </xdr:from>
        <xdr:to>
          <xdr:col>3</xdr:col>
          <xdr:colOff>523875</xdr:colOff>
          <xdr:row>25</xdr:row>
          <xdr:rowOff>323850</xdr:rowOff>
        </xdr:to>
        <xdr:sp macro="" textlink="">
          <xdr:nvSpPr>
            <xdr:cNvPr id="10255" name="threeeighttwo" hidden="1">
              <a:extLst>
                <a:ext uri="{63B3BB69-23CF-44E3-9099-C40C66FF867C}">
                  <a14:compatExt spid="_x0000_s10255"/>
                </a:ext>
                <a:ext uri="{FF2B5EF4-FFF2-40B4-BE49-F238E27FC236}">
                  <a16:creationId xmlns:a16="http://schemas.microsoft.com/office/drawing/2014/main" id="{00000000-0008-0000-04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25</xdr:row>
          <xdr:rowOff>123825</xdr:rowOff>
        </xdr:from>
        <xdr:to>
          <xdr:col>4</xdr:col>
          <xdr:colOff>523875</xdr:colOff>
          <xdr:row>25</xdr:row>
          <xdr:rowOff>323850</xdr:rowOff>
        </xdr:to>
        <xdr:sp macro="" textlink="">
          <xdr:nvSpPr>
            <xdr:cNvPr id="10256" name="threeeightthree"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25</xdr:row>
          <xdr:rowOff>123825</xdr:rowOff>
        </xdr:from>
        <xdr:to>
          <xdr:col>5</xdr:col>
          <xdr:colOff>523875</xdr:colOff>
          <xdr:row>25</xdr:row>
          <xdr:rowOff>323850</xdr:rowOff>
        </xdr:to>
        <xdr:sp macro="" textlink="">
          <xdr:nvSpPr>
            <xdr:cNvPr id="10257" name="threeeightfour" hidden="1">
              <a:extLst>
                <a:ext uri="{63B3BB69-23CF-44E3-9099-C40C66FF867C}">
                  <a14:compatExt spid="_x0000_s10257"/>
                </a:ext>
                <a:ext uri="{FF2B5EF4-FFF2-40B4-BE49-F238E27FC236}">
                  <a16:creationId xmlns:a16="http://schemas.microsoft.com/office/drawing/2014/main" id="{00000000-0008-0000-0400-00001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19</xdr:row>
          <xdr:rowOff>123825</xdr:rowOff>
        </xdr:from>
        <xdr:to>
          <xdr:col>2</xdr:col>
          <xdr:colOff>523875</xdr:colOff>
          <xdr:row>19</xdr:row>
          <xdr:rowOff>323850</xdr:rowOff>
        </xdr:to>
        <xdr:sp macro="" textlink="">
          <xdr:nvSpPr>
            <xdr:cNvPr id="10284" name="threetwoone" hidden="1">
              <a:extLst>
                <a:ext uri="{63B3BB69-23CF-44E3-9099-C40C66FF867C}">
                  <a14:compatExt spid="_x0000_s10284"/>
                </a:ext>
                <a:ext uri="{FF2B5EF4-FFF2-40B4-BE49-F238E27FC236}">
                  <a16:creationId xmlns:a16="http://schemas.microsoft.com/office/drawing/2014/main" id="{00000000-0008-0000-0400-00002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19</xdr:row>
          <xdr:rowOff>123825</xdr:rowOff>
        </xdr:from>
        <xdr:to>
          <xdr:col>3</xdr:col>
          <xdr:colOff>523875</xdr:colOff>
          <xdr:row>19</xdr:row>
          <xdr:rowOff>323850</xdr:rowOff>
        </xdr:to>
        <xdr:sp macro="" textlink="">
          <xdr:nvSpPr>
            <xdr:cNvPr id="10285" name="threetwotwo" hidden="1">
              <a:extLst>
                <a:ext uri="{63B3BB69-23CF-44E3-9099-C40C66FF867C}">
                  <a14:compatExt spid="_x0000_s10285"/>
                </a:ext>
                <a:ext uri="{FF2B5EF4-FFF2-40B4-BE49-F238E27FC236}">
                  <a16:creationId xmlns:a16="http://schemas.microsoft.com/office/drawing/2014/main" id="{00000000-0008-0000-04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19</xdr:row>
          <xdr:rowOff>123825</xdr:rowOff>
        </xdr:from>
        <xdr:to>
          <xdr:col>4</xdr:col>
          <xdr:colOff>523875</xdr:colOff>
          <xdr:row>19</xdr:row>
          <xdr:rowOff>323850</xdr:rowOff>
        </xdr:to>
        <xdr:sp macro="" textlink="">
          <xdr:nvSpPr>
            <xdr:cNvPr id="10286" name="threetwothree" hidden="1">
              <a:extLst>
                <a:ext uri="{63B3BB69-23CF-44E3-9099-C40C66FF867C}">
                  <a14:compatExt spid="_x0000_s10286"/>
                </a:ext>
                <a:ext uri="{FF2B5EF4-FFF2-40B4-BE49-F238E27FC236}">
                  <a16:creationId xmlns:a16="http://schemas.microsoft.com/office/drawing/2014/main" id="{00000000-0008-0000-0400-00002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19</xdr:row>
          <xdr:rowOff>123825</xdr:rowOff>
        </xdr:from>
        <xdr:to>
          <xdr:col>5</xdr:col>
          <xdr:colOff>523875</xdr:colOff>
          <xdr:row>19</xdr:row>
          <xdr:rowOff>323850</xdr:rowOff>
        </xdr:to>
        <xdr:sp macro="" textlink="">
          <xdr:nvSpPr>
            <xdr:cNvPr id="10287" name="threetwofour" hidden="1">
              <a:extLst>
                <a:ext uri="{63B3BB69-23CF-44E3-9099-C40C66FF867C}">
                  <a14:compatExt spid="_x0000_s10287"/>
                </a:ext>
                <a:ext uri="{FF2B5EF4-FFF2-40B4-BE49-F238E27FC236}">
                  <a16:creationId xmlns:a16="http://schemas.microsoft.com/office/drawing/2014/main" id="{00000000-0008-0000-04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20</xdr:row>
          <xdr:rowOff>123825</xdr:rowOff>
        </xdr:from>
        <xdr:to>
          <xdr:col>2</xdr:col>
          <xdr:colOff>523875</xdr:colOff>
          <xdr:row>20</xdr:row>
          <xdr:rowOff>323850</xdr:rowOff>
        </xdr:to>
        <xdr:sp macro="" textlink="">
          <xdr:nvSpPr>
            <xdr:cNvPr id="10288" name="threethreeone" hidden="1">
              <a:extLst>
                <a:ext uri="{63B3BB69-23CF-44E3-9099-C40C66FF867C}">
                  <a14:compatExt spid="_x0000_s10288"/>
                </a:ext>
                <a:ext uri="{FF2B5EF4-FFF2-40B4-BE49-F238E27FC236}">
                  <a16:creationId xmlns:a16="http://schemas.microsoft.com/office/drawing/2014/main" id="{00000000-0008-0000-04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20</xdr:row>
          <xdr:rowOff>123825</xdr:rowOff>
        </xdr:from>
        <xdr:to>
          <xdr:col>3</xdr:col>
          <xdr:colOff>523875</xdr:colOff>
          <xdr:row>20</xdr:row>
          <xdr:rowOff>323850</xdr:rowOff>
        </xdr:to>
        <xdr:sp macro="" textlink="">
          <xdr:nvSpPr>
            <xdr:cNvPr id="10289" name="threethreetwo" hidden="1">
              <a:extLst>
                <a:ext uri="{63B3BB69-23CF-44E3-9099-C40C66FF867C}">
                  <a14:compatExt spid="_x0000_s10289"/>
                </a:ext>
                <a:ext uri="{FF2B5EF4-FFF2-40B4-BE49-F238E27FC236}">
                  <a16:creationId xmlns:a16="http://schemas.microsoft.com/office/drawing/2014/main" id="{00000000-0008-0000-04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20</xdr:row>
          <xdr:rowOff>123825</xdr:rowOff>
        </xdr:from>
        <xdr:to>
          <xdr:col>4</xdr:col>
          <xdr:colOff>523875</xdr:colOff>
          <xdr:row>20</xdr:row>
          <xdr:rowOff>323850</xdr:rowOff>
        </xdr:to>
        <xdr:sp macro="" textlink="">
          <xdr:nvSpPr>
            <xdr:cNvPr id="10290" name="threethreethree" hidden="1">
              <a:extLst>
                <a:ext uri="{63B3BB69-23CF-44E3-9099-C40C66FF867C}">
                  <a14:compatExt spid="_x0000_s10290"/>
                </a:ext>
                <a:ext uri="{FF2B5EF4-FFF2-40B4-BE49-F238E27FC236}">
                  <a16:creationId xmlns:a16="http://schemas.microsoft.com/office/drawing/2014/main" id="{00000000-0008-0000-0400-00003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20</xdr:row>
          <xdr:rowOff>123825</xdr:rowOff>
        </xdr:from>
        <xdr:to>
          <xdr:col>5</xdr:col>
          <xdr:colOff>523875</xdr:colOff>
          <xdr:row>20</xdr:row>
          <xdr:rowOff>323850</xdr:rowOff>
        </xdr:to>
        <xdr:sp macro="" textlink="">
          <xdr:nvSpPr>
            <xdr:cNvPr id="10291" name="threethreefour" hidden="1">
              <a:extLst>
                <a:ext uri="{63B3BB69-23CF-44E3-9099-C40C66FF867C}">
                  <a14:compatExt spid="_x0000_s10291"/>
                </a:ext>
                <a:ext uri="{FF2B5EF4-FFF2-40B4-BE49-F238E27FC236}">
                  <a16:creationId xmlns:a16="http://schemas.microsoft.com/office/drawing/2014/main" id="{00000000-0008-0000-0400-00003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21</xdr:row>
          <xdr:rowOff>123825</xdr:rowOff>
        </xdr:from>
        <xdr:to>
          <xdr:col>2</xdr:col>
          <xdr:colOff>523875</xdr:colOff>
          <xdr:row>21</xdr:row>
          <xdr:rowOff>323850</xdr:rowOff>
        </xdr:to>
        <xdr:sp macro="" textlink="">
          <xdr:nvSpPr>
            <xdr:cNvPr id="10292" name="threefourone" hidden="1">
              <a:extLst>
                <a:ext uri="{63B3BB69-23CF-44E3-9099-C40C66FF867C}">
                  <a14:compatExt spid="_x0000_s10292"/>
                </a:ext>
                <a:ext uri="{FF2B5EF4-FFF2-40B4-BE49-F238E27FC236}">
                  <a16:creationId xmlns:a16="http://schemas.microsoft.com/office/drawing/2014/main" id="{00000000-0008-0000-0400-00003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21</xdr:row>
          <xdr:rowOff>123825</xdr:rowOff>
        </xdr:from>
        <xdr:to>
          <xdr:col>3</xdr:col>
          <xdr:colOff>523875</xdr:colOff>
          <xdr:row>21</xdr:row>
          <xdr:rowOff>323850</xdr:rowOff>
        </xdr:to>
        <xdr:sp macro="" textlink="">
          <xdr:nvSpPr>
            <xdr:cNvPr id="10293" name="threefourtwo" hidden="1">
              <a:extLst>
                <a:ext uri="{63B3BB69-23CF-44E3-9099-C40C66FF867C}">
                  <a14:compatExt spid="_x0000_s10293"/>
                </a:ext>
                <a:ext uri="{FF2B5EF4-FFF2-40B4-BE49-F238E27FC236}">
                  <a16:creationId xmlns:a16="http://schemas.microsoft.com/office/drawing/2014/main" id="{00000000-0008-0000-0400-00003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21</xdr:row>
          <xdr:rowOff>123825</xdr:rowOff>
        </xdr:from>
        <xdr:to>
          <xdr:col>4</xdr:col>
          <xdr:colOff>523875</xdr:colOff>
          <xdr:row>21</xdr:row>
          <xdr:rowOff>323850</xdr:rowOff>
        </xdr:to>
        <xdr:sp macro="" textlink="">
          <xdr:nvSpPr>
            <xdr:cNvPr id="10294" name="threefourthree" hidden="1">
              <a:extLst>
                <a:ext uri="{63B3BB69-23CF-44E3-9099-C40C66FF867C}">
                  <a14:compatExt spid="_x0000_s10294"/>
                </a:ext>
                <a:ext uri="{FF2B5EF4-FFF2-40B4-BE49-F238E27FC236}">
                  <a16:creationId xmlns:a16="http://schemas.microsoft.com/office/drawing/2014/main" id="{00000000-0008-0000-0400-00003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21</xdr:row>
          <xdr:rowOff>123825</xdr:rowOff>
        </xdr:from>
        <xdr:to>
          <xdr:col>5</xdr:col>
          <xdr:colOff>523875</xdr:colOff>
          <xdr:row>21</xdr:row>
          <xdr:rowOff>323850</xdr:rowOff>
        </xdr:to>
        <xdr:sp macro="" textlink="">
          <xdr:nvSpPr>
            <xdr:cNvPr id="10295" name="threefourfour" hidden="1">
              <a:extLst>
                <a:ext uri="{63B3BB69-23CF-44E3-9099-C40C66FF867C}">
                  <a14:compatExt spid="_x0000_s10295"/>
                </a:ext>
                <a:ext uri="{FF2B5EF4-FFF2-40B4-BE49-F238E27FC236}">
                  <a16:creationId xmlns:a16="http://schemas.microsoft.com/office/drawing/2014/main" id="{00000000-0008-0000-0400-00003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22</xdr:row>
          <xdr:rowOff>123825</xdr:rowOff>
        </xdr:from>
        <xdr:to>
          <xdr:col>2</xdr:col>
          <xdr:colOff>523875</xdr:colOff>
          <xdr:row>22</xdr:row>
          <xdr:rowOff>323850</xdr:rowOff>
        </xdr:to>
        <xdr:sp macro="" textlink="">
          <xdr:nvSpPr>
            <xdr:cNvPr id="10296" name="threefiveone" hidden="1">
              <a:extLst>
                <a:ext uri="{63B3BB69-23CF-44E3-9099-C40C66FF867C}">
                  <a14:compatExt spid="_x0000_s10296"/>
                </a:ext>
                <a:ext uri="{FF2B5EF4-FFF2-40B4-BE49-F238E27FC236}">
                  <a16:creationId xmlns:a16="http://schemas.microsoft.com/office/drawing/2014/main" id="{00000000-0008-0000-0400-00003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22</xdr:row>
          <xdr:rowOff>123825</xdr:rowOff>
        </xdr:from>
        <xdr:to>
          <xdr:col>3</xdr:col>
          <xdr:colOff>523875</xdr:colOff>
          <xdr:row>22</xdr:row>
          <xdr:rowOff>323850</xdr:rowOff>
        </xdr:to>
        <xdr:sp macro="" textlink="">
          <xdr:nvSpPr>
            <xdr:cNvPr id="10297" name="threefivetwo" hidden="1">
              <a:extLst>
                <a:ext uri="{63B3BB69-23CF-44E3-9099-C40C66FF867C}">
                  <a14:compatExt spid="_x0000_s10297"/>
                </a:ext>
                <a:ext uri="{FF2B5EF4-FFF2-40B4-BE49-F238E27FC236}">
                  <a16:creationId xmlns:a16="http://schemas.microsoft.com/office/drawing/2014/main" id="{00000000-0008-0000-0400-00003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22</xdr:row>
          <xdr:rowOff>123825</xdr:rowOff>
        </xdr:from>
        <xdr:to>
          <xdr:col>4</xdr:col>
          <xdr:colOff>523875</xdr:colOff>
          <xdr:row>22</xdr:row>
          <xdr:rowOff>323850</xdr:rowOff>
        </xdr:to>
        <xdr:sp macro="" textlink="">
          <xdr:nvSpPr>
            <xdr:cNvPr id="10298" name="threefivethree" hidden="1">
              <a:extLst>
                <a:ext uri="{63B3BB69-23CF-44E3-9099-C40C66FF867C}">
                  <a14:compatExt spid="_x0000_s10298"/>
                </a:ext>
                <a:ext uri="{FF2B5EF4-FFF2-40B4-BE49-F238E27FC236}">
                  <a16:creationId xmlns:a16="http://schemas.microsoft.com/office/drawing/2014/main" id="{00000000-0008-0000-0400-00003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22</xdr:row>
          <xdr:rowOff>123825</xdr:rowOff>
        </xdr:from>
        <xdr:to>
          <xdr:col>5</xdr:col>
          <xdr:colOff>523875</xdr:colOff>
          <xdr:row>22</xdr:row>
          <xdr:rowOff>323850</xdr:rowOff>
        </xdr:to>
        <xdr:sp macro="" textlink="">
          <xdr:nvSpPr>
            <xdr:cNvPr id="10299" name="threefivefour" hidden="1">
              <a:extLst>
                <a:ext uri="{63B3BB69-23CF-44E3-9099-C40C66FF867C}">
                  <a14:compatExt spid="_x0000_s10299"/>
                </a:ext>
                <a:ext uri="{FF2B5EF4-FFF2-40B4-BE49-F238E27FC236}">
                  <a16:creationId xmlns:a16="http://schemas.microsoft.com/office/drawing/2014/main" id="{00000000-0008-0000-0400-00003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676274</xdr:colOff>
      <xdr:row>28</xdr:row>
      <xdr:rowOff>1</xdr:rowOff>
    </xdr:from>
    <xdr:to>
      <xdr:col>5</xdr:col>
      <xdr:colOff>733424</xdr:colOff>
      <xdr:row>33</xdr:row>
      <xdr:rowOff>276226</xdr:rowOff>
    </xdr:to>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676274" y="8553451"/>
          <a:ext cx="6962775"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a:t>Once</a:t>
          </a:r>
          <a:r>
            <a:rPr lang="en-GB" sz="1400" baseline="0"/>
            <a:t> you are happy with all your answers to the questions in this assessment, please click the "Submit" button below to generate your personal project management framework learning plan.</a:t>
          </a:r>
        </a:p>
        <a:p>
          <a:pPr algn="ctr"/>
          <a:endParaRPr lang="en-GB" sz="1400" baseline="0"/>
        </a:p>
        <a:p>
          <a:pPr algn="ctr"/>
          <a:endParaRPr lang="en-GB" sz="1400" baseline="0"/>
        </a:p>
        <a:p>
          <a:pPr algn="ctr"/>
          <a:r>
            <a:rPr lang="en-GB" sz="1400" baseline="0"/>
            <a:t>Please note that once you click "Submit" you will not be able to amend your answers</a:t>
          </a:r>
          <a:endParaRPr lang="en-GB" sz="1400"/>
        </a:p>
      </xdr:txBody>
    </xdr:sp>
    <xdr:clientData/>
  </xdr:twoCellAnchor>
  <mc:AlternateContent xmlns:mc="http://schemas.openxmlformats.org/markup-compatibility/2006">
    <mc:Choice xmlns:a14="http://schemas.microsoft.com/office/drawing/2010/main" Requires="a14">
      <xdr:twoCellAnchor editAs="oneCell">
        <xdr:from>
          <xdr:col>1</xdr:col>
          <xdr:colOff>1895475</xdr:colOff>
          <xdr:row>34</xdr:row>
          <xdr:rowOff>152400</xdr:rowOff>
        </xdr:from>
        <xdr:to>
          <xdr:col>1</xdr:col>
          <xdr:colOff>3619500</xdr:colOff>
          <xdr:row>35</xdr:row>
          <xdr:rowOff>200025</xdr:rowOff>
        </xdr:to>
        <xdr:sp macro="" textlink="">
          <xdr:nvSpPr>
            <xdr:cNvPr id="10300" name="BackButtonThree" hidden="1">
              <a:extLst>
                <a:ext uri="{63B3BB69-23CF-44E3-9099-C40C66FF867C}">
                  <a14:compatExt spid="_x0000_s10300"/>
                </a:ext>
                <a:ext uri="{FF2B5EF4-FFF2-40B4-BE49-F238E27FC236}">
                  <a16:creationId xmlns:a16="http://schemas.microsoft.com/office/drawing/2014/main" id="{00000000-0008-0000-04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26</xdr:row>
          <xdr:rowOff>123825</xdr:rowOff>
        </xdr:from>
        <xdr:to>
          <xdr:col>2</xdr:col>
          <xdr:colOff>523875</xdr:colOff>
          <xdr:row>26</xdr:row>
          <xdr:rowOff>323850</xdr:rowOff>
        </xdr:to>
        <xdr:sp macro="" textlink="">
          <xdr:nvSpPr>
            <xdr:cNvPr id="10302" name="threenineone" hidden="1">
              <a:extLst>
                <a:ext uri="{63B3BB69-23CF-44E3-9099-C40C66FF867C}">
                  <a14:compatExt spid="_x0000_s10302"/>
                </a:ext>
                <a:ext uri="{FF2B5EF4-FFF2-40B4-BE49-F238E27FC236}">
                  <a16:creationId xmlns:a16="http://schemas.microsoft.com/office/drawing/2014/main" id="{00000000-0008-0000-0400-00003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26</xdr:row>
          <xdr:rowOff>123825</xdr:rowOff>
        </xdr:from>
        <xdr:to>
          <xdr:col>3</xdr:col>
          <xdr:colOff>523875</xdr:colOff>
          <xdr:row>26</xdr:row>
          <xdr:rowOff>323850</xdr:rowOff>
        </xdr:to>
        <xdr:sp macro="" textlink="">
          <xdr:nvSpPr>
            <xdr:cNvPr id="10303" name="threeninetwo" hidden="1">
              <a:extLst>
                <a:ext uri="{63B3BB69-23CF-44E3-9099-C40C66FF867C}">
                  <a14:compatExt spid="_x0000_s10303"/>
                </a:ext>
                <a:ext uri="{FF2B5EF4-FFF2-40B4-BE49-F238E27FC236}">
                  <a16:creationId xmlns:a16="http://schemas.microsoft.com/office/drawing/2014/main" id="{00000000-0008-0000-0400-00003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26</xdr:row>
          <xdr:rowOff>123825</xdr:rowOff>
        </xdr:from>
        <xdr:to>
          <xdr:col>4</xdr:col>
          <xdr:colOff>523875</xdr:colOff>
          <xdr:row>26</xdr:row>
          <xdr:rowOff>323850</xdr:rowOff>
        </xdr:to>
        <xdr:sp macro="" textlink="">
          <xdr:nvSpPr>
            <xdr:cNvPr id="10304" name="threeninethree" hidden="1">
              <a:extLst>
                <a:ext uri="{63B3BB69-23CF-44E3-9099-C40C66FF867C}">
                  <a14:compatExt spid="_x0000_s10304"/>
                </a:ext>
                <a:ext uri="{FF2B5EF4-FFF2-40B4-BE49-F238E27FC236}">
                  <a16:creationId xmlns:a16="http://schemas.microsoft.com/office/drawing/2014/main" id="{00000000-0008-0000-0400-00004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26</xdr:row>
          <xdr:rowOff>123825</xdr:rowOff>
        </xdr:from>
        <xdr:to>
          <xdr:col>5</xdr:col>
          <xdr:colOff>523875</xdr:colOff>
          <xdr:row>26</xdr:row>
          <xdr:rowOff>323850</xdr:rowOff>
        </xdr:to>
        <xdr:sp macro="" textlink="">
          <xdr:nvSpPr>
            <xdr:cNvPr id="10305" name="threeninefour" hidden="1">
              <a:extLst>
                <a:ext uri="{63B3BB69-23CF-44E3-9099-C40C66FF867C}">
                  <a14:compatExt spid="_x0000_s10305"/>
                </a:ext>
                <a:ext uri="{FF2B5EF4-FFF2-40B4-BE49-F238E27FC236}">
                  <a16:creationId xmlns:a16="http://schemas.microsoft.com/office/drawing/2014/main" id="{00000000-0008-0000-0400-00004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5.emf"/><Relationship Id="rId10" Type="http://schemas.openxmlformats.org/officeDocument/2006/relationships/comments" Target="../comments1.xml"/><Relationship Id="rId4" Type="http://schemas.openxmlformats.org/officeDocument/2006/relationships/control" Target="../activeX/activeX5.xml"/><Relationship Id="rId9" Type="http://schemas.openxmlformats.org/officeDocument/2006/relationships/control" Target="../activeX/activeX8.xml"/></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15.xml"/><Relationship Id="rId18" Type="http://schemas.openxmlformats.org/officeDocument/2006/relationships/control" Target="../activeX/activeX20.xml"/><Relationship Id="rId26" Type="http://schemas.openxmlformats.org/officeDocument/2006/relationships/control" Target="../activeX/activeX28.xml"/><Relationship Id="rId39" Type="http://schemas.openxmlformats.org/officeDocument/2006/relationships/control" Target="../activeX/activeX41.xml"/><Relationship Id="rId3" Type="http://schemas.openxmlformats.org/officeDocument/2006/relationships/vmlDrawing" Target="../drawings/vmlDrawing4.vml"/><Relationship Id="rId21" Type="http://schemas.openxmlformats.org/officeDocument/2006/relationships/control" Target="../activeX/activeX23.xml"/><Relationship Id="rId34" Type="http://schemas.openxmlformats.org/officeDocument/2006/relationships/control" Target="../activeX/activeX36.xml"/><Relationship Id="rId42" Type="http://schemas.openxmlformats.org/officeDocument/2006/relationships/control" Target="../activeX/activeX44.xml"/><Relationship Id="rId47" Type="http://schemas.openxmlformats.org/officeDocument/2006/relationships/control" Target="../activeX/activeX49.xml"/><Relationship Id="rId7" Type="http://schemas.openxmlformats.org/officeDocument/2006/relationships/image" Target="../media/image8.emf"/><Relationship Id="rId12" Type="http://schemas.openxmlformats.org/officeDocument/2006/relationships/control" Target="../activeX/activeX14.xml"/><Relationship Id="rId17" Type="http://schemas.openxmlformats.org/officeDocument/2006/relationships/control" Target="../activeX/activeX19.xml"/><Relationship Id="rId25" Type="http://schemas.openxmlformats.org/officeDocument/2006/relationships/control" Target="../activeX/activeX27.xml"/><Relationship Id="rId33" Type="http://schemas.openxmlformats.org/officeDocument/2006/relationships/control" Target="../activeX/activeX35.xml"/><Relationship Id="rId38" Type="http://schemas.openxmlformats.org/officeDocument/2006/relationships/control" Target="../activeX/activeX40.xml"/><Relationship Id="rId46" Type="http://schemas.openxmlformats.org/officeDocument/2006/relationships/control" Target="../activeX/activeX48.xml"/><Relationship Id="rId2" Type="http://schemas.openxmlformats.org/officeDocument/2006/relationships/drawing" Target="../drawings/drawing4.xml"/><Relationship Id="rId16" Type="http://schemas.openxmlformats.org/officeDocument/2006/relationships/control" Target="../activeX/activeX18.xml"/><Relationship Id="rId20" Type="http://schemas.openxmlformats.org/officeDocument/2006/relationships/control" Target="../activeX/activeX22.xml"/><Relationship Id="rId29" Type="http://schemas.openxmlformats.org/officeDocument/2006/relationships/control" Target="../activeX/activeX31.xml"/><Relationship Id="rId41" Type="http://schemas.openxmlformats.org/officeDocument/2006/relationships/control" Target="../activeX/activeX43.xml"/><Relationship Id="rId1" Type="http://schemas.openxmlformats.org/officeDocument/2006/relationships/printerSettings" Target="../printerSettings/printerSettings4.bin"/><Relationship Id="rId6" Type="http://schemas.openxmlformats.org/officeDocument/2006/relationships/control" Target="../activeX/activeX10.xml"/><Relationship Id="rId11" Type="http://schemas.openxmlformats.org/officeDocument/2006/relationships/control" Target="../activeX/activeX13.xml"/><Relationship Id="rId24" Type="http://schemas.openxmlformats.org/officeDocument/2006/relationships/control" Target="../activeX/activeX26.xml"/><Relationship Id="rId32" Type="http://schemas.openxmlformats.org/officeDocument/2006/relationships/control" Target="../activeX/activeX34.xml"/><Relationship Id="rId37" Type="http://schemas.openxmlformats.org/officeDocument/2006/relationships/control" Target="../activeX/activeX39.xml"/><Relationship Id="rId40" Type="http://schemas.openxmlformats.org/officeDocument/2006/relationships/control" Target="../activeX/activeX42.xml"/><Relationship Id="rId45" Type="http://schemas.openxmlformats.org/officeDocument/2006/relationships/control" Target="../activeX/activeX47.xml"/><Relationship Id="rId5" Type="http://schemas.openxmlformats.org/officeDocument/2006/relationships/image" Target="../media/image7.emf"/><Relationship Id="rId15" Type="http://schemas.openxmlformats.org/officeDocument/2006/relationships/control" Target="../activeX/activeX17.xml"/><Relationship Id="rId23" Type="http://schemas.openxmlformats.org/officeDocument/2006/relationships/control" Target="../activeX/activeX25.xml"/><Relationship Id="rId28" Type="http://schemas.openxmlformats.org/officeDocument/2006/relationships/control" Target="../activeX/activeX30.xml"/><Relationship Id="rId36" Type="http://schemas.openxmlformats.org/officeDocument/2006/relationships/control" Target="../activeX/activeX38.xml"/><Relationship Id="rId49" Type="http://schemas.openxmlformats.org/officeDocument/2006/relationships/comments" Target="../comments2.xml"/><Relationship Id="rId10" Type="http://schemas.openxmlformats.org/officeDocument/2006/relationships/control" Target="../activeX/activeX12.xml"/><Relationship Id="rId19" Type="http://schemas.openxmlformats.org/officeDocument/2006/relationships/control" Target="../activeX/activeX21.xml"/><Relationship Id="rId31" Type="http://schemas.openxmlformats.org/officeDocument/2006/relationships/control" Target="../activeX/activeX33.xml"/><Relationship Id="rId44" Type="http://schemas.openxmlformats.org/officeDocument/2006/relationships/control" Target="../activeX/activeX46.xml"/><Relationship Id="rId4" Type="http://schemas.openxmlformats.org/officeDocument/2006/relationships/control" Target="../activeX/activeX9.xml"/><Relationship Id="rId9" Type="http://schemas.openxmlformats.org/officeDocument/2006/relationships/image" Target="../media/image9.emf"/><Relationship Id="rId14" Type="http://schemas.openxmlformats.org/officeDocument/2006/relationships/control" Target="../activeX/activeX16.xml"/><Relationship Id="rId22" Type="http://schemas.openxmlformats.org/officeDocument/2006/relationships/control" Target="../activeX/activeX24.xml"/><Relationship Id="rId27" Type="http://schemas.openxmlformats.org/officeDocument/2006/relationships/control" Target="../activeX/activeX29.xml"/><Relationship Id="rId30" Type="http://schemas.openxmlformats.org/officeDocument/2006/relationships/control" Target="../activeX/activeX32.xml"/><Relationship Id="rId35" Type="http://schemas.openxmlformats.org/officeDocument/2006/relationships/control" Target="../activeX/activeX37.xml"/><Relationship Id="rId43" Type="http://schemas.openxmlformats.org/officeDocument/2006/relationships/control" Target="../activeX/activeX45.xml"/><Relationship Id="rId48" Type="http://schemas.openxmlformats.org/officeDocument/2006/relationships/control" Target="../activeX/activeX50.xml"/><Relationship Id="rId8" Type="http://schemas.openxmlformats.org/officeDocument/2006/relationships/control" Target="../activeX/activeX1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control" Target="../activeX/activeX58.xml"/><Relationship Id="rId18" Type="http://schemas.openxmlformats.org/officeDocument/2006/relationships/control" Target="../activeX/activeX63.xml"/><Relationship Id="rId26" Type="http://schemas.openxmlformats.org/officeDocument/2006/relationships/control" Target="../activeX/activeX70.xml"/><Relationship Id="rId39" Type="http://schemas.openxmlformats.org/officeDocument/2006/relationships/control" Target="../activeX/activeX83.xml"/><Relationship Id="rId3" Type="http://schemas.openxmlformats.org/officeDocument/2006/relationships/vmlDrawing" Target="../drawings/vmlDrawing5.vml"/><Relationship Id="rId21" Type="http://schemas.openxmlformats.org/officeDocument/2006/relationships/control" Target="../activeX/activeX66.xml"/><Relationship Id="rId34" Type="http://schemas.openxmlformats.org/officeDocument/2006/relationships/control" Target="../activeX/activeX78.xml"/><Relationship Id="rId42" Type="http://schemas.openxmlformats.org/officeDocument/2006/relationships/control" Target="../activeX/activeX86.xml"/><Relationship Id="rId7" Type="http://schemas.openxmlformats.org/officeDocument/2006/relationships/image" Target="../media/image9.emf"/><Relationship Id="rId12" Type="http://schemas.openxmlformats.org/officeDocument/2006/relationships/control" Target="../activeX/activeX57.xml"/><Relationship Id="rId17" Type="http://schemas.openxmlformats.org/officeDocument/2006/relationships/control" Target="../activeX/activeX62.xml"/><Relationship Id="rId25" Type="http://schemas.openxmlformats.org/officeDocument/2006/relationships/control" Target="../activeX/activeX69.xml"/><Relationship Id="rId33" Type="http://schemas.openxmlformats.org/officeDocument/2006/relationships/control" Target="../activeX/activeX77.xml"/><Relationship Id="rId38" Type="http://schemas.openxmlformats.org/officeDocument/2006/relationships/control" Target="../activeX/activeX82.xml"/><Relationship Id="rId2" Type="http://schemas.openxmlformats.org/officeDocument/2006/relationships/drawing" Target="../drawings/drawing5.xml"/><Relationship Id="rId16" Type="http://schemas.openxmlformats.org/officeDocument/2006/relationships/control" Target="../activeX/activeX61.xml"/><Relationship Id="rId20" Type="http://schemas.openxmlformats.org/officeDocument/2006/relationships/control" Target="../activeX/activeX65.xml"/><Relationship Id="rId29" Type="http://schemas.openxmlformats.org/officeDocument/2006/relationships/control" Target="../activeX/activeX73.xml"/><Relationship Id="rId41"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52.xml"/><Relationship Id="rId11" Type="http://schemas.openxmlformats.org/officeDocument/2006/relationships/control" Target="../activeX/activeX56.xml"/><Relationship Id="rId24" Type="http://schemas.openxmlformats.org/officeDocument/2006/relationships/image" Target="../media/image11.emf"/><Relationship Id="rId32" Type="http://schemas.openxmlformats.org/officeDocument/2006/relationships/control" Target="../activeX/activeX76.xml"/><Relationship Id="rId37" Type="http://schemas.openxmlformats.org/officeDocument/2006/relationships/control" Target="../activeX/activeX81.xml"/><Relationship Id="rId40" Type="http://schemas.openxmlformats.org/officeDocument/2006/relationships/control" Target="../activeX/activeX84.xml"/><Relationship Id="rId45" Type="http://schemas.openxmlformats.org/officeDocument/2006/relationships/comments" Target="../comments3.xml"/><Relationship Id="rId5" Type="http://schemas.openxmlformats.org/officeDocument/2006/relationships/image" Target="../media/image10.emf"/><Relationship Id="rId15" Type="http://schemas.openxmlformats.org/officeDocument/2006/relationships/control" Target="../activeX/activeX60.xml"/><Relationship Id="rId23" Type="http://schemas.openxmlformats.org/officeDocument/2006/relationships/control" Target="../activeX/activeX68.xml"/><Relationship Id="rId28" Type="http://schemas.openxmlformats.org/officeDocument/2006/relationships/control" Target="../activeX/activeX72.xml"/><Relationship Id="rId36" Type="http://schemas.openxmlformats.org/officeDocument/2006/relationships/control" Target="../activeX/activeX80.xml"/><Relationship Id="rId10" Type="http://schemas.openxmlformats.org/officeDocument/2006/relationships/control" Target="../activeX/activeX55.xml"/><Relationship Id="rId19" Type="http://schemas.openxmlformats.org/officeDocument/2006/relationships/control" Target="../activeX/activeX64.xml"/><Relationship Id="rId31" Type="http://schemas.openxmlformats.org/officeDocument/2006/relationships/control" Target="../activeX/activeX75.xml"/><Relationship Id="rId44" Type="http://schemas.openxmlformats.org/officeDocument/2006/relationships/control" Target="../activeX/activeX88.xml"/><Relationship Id="rId4" Type="http://schemas.openxmlformats.org/officeDocument/2006/relationships/control" Target="../activeX/activeX51.xml"/><Relationship Id="rId9" Type="http://schemas.openxmlformats.org/officeDocument/2006/relationships/control" Target="../activeX/activeX54.xml"/><Relationship Id="rId14" Type="http://schemas.openxmlformats.org/officeDocument/2006/relationships/control" Target="../activeX/activeX59.xml"/><Relationship Id="rId22" Type="http://schemas.openxmlformats.org/officeDocument/2006/relationships/control" Target="../activeX/activeX67.xml"/><Relationship Id="rId27" Type="http://schemas.openxmlformats.org/officeDocument/2006/relationships/control" Target="../activeX/activeX71.xml"/><Relationship Id="rId30" Type="http://schemas.openxmlformats.org/officeDocument/2006/relationships/control" Target="../activeX/activeX74.xml"/><Relationship Id="rId35" Type="http://schemas.openxmlformats.org/officeDocument/2006/relationships/control" Target="../activeX/activeX79.xml"/><Relationship Id="rId43" Type="http://schemas.openxmlformats.org/officeDocument/2006/relationships/control" Target="../activeX/activeX8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s">
    <tabColor rgb="FFC00000"/>
  </sheetPr>
  <dimension ref="A1:AA73"/>
  <sheetViews>
    <sheetView tabSelected="1" topLeftCell="A10" zoomScaleNormal="100" workbookViewId="0"/>
  </sheetViews>
  <sheetFormatPr defaultRowHeight="14.25" x14ac:dyDescent="0.2"/>
  <sheetData>
    <row r="1" spans="1:27" x14ac:dyDescent="0.2">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
      <c r="A2" s="1"/>
      <c r="B2" s="1"/>
      <c r="C2" s="1"/>
      <c r="D2" s="1"/>
      <c r="E2" s="1"/>
      <c r="F2" s="1"/>
      <c r="G2" s="1"/>
      <c r="H2" s="1"/>
      <c r="I2" s="1"/>
      <c r="J2" s="1"/>
      <c r="K2" s="1"/>
      <c r="L2" s="1"/>
      <c r="M2" s="1"/>
      <c r="N2" s="1"/>
      <c r="O2" s="1"/>
      <c r="P2" s="1"/>
      <c r="Q2" s="1"/>
      <c r="R2" s="1"/>
      <c r="S2" s="1"/>
      <c r="T2" s="1"/>
      <c r="U2" s="1"/>
      <c r="V2" s="1"/>
      <c r="W2" s="1"/>
      <c r="X2" s="1"/>
      <c r="Y2" s="1"/>
      <c r="Z2" s="1"/>
      <c r="AA2" s="1"/>
    </row>
    <row r="3" spans="1:27" x14ac:dyDescent="0.2">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
      <c r="A8" s="1"/>
      <c r="B8" s="1"/>
      <c r="C8" s="1"/>
      <c r="D8" s="1"/>
      <c r="E8" s="1"/>
      <c r="F8" s="1"/>
      <c r="G8" s="1"/>
      <c r="H8" s="1"/>
      <c r="I8" s="1"/>
      <c r="J8" s="1"/>
      <c r="K8" s="1"/>
      <c r="L8" s="1"/>
      <c r="M8" s="1"/>
      <c r="N8" s="1"/>
      <c r="O8" s="1"/>
      <c r="P8" s="1"/>
      <c r="Q8" s="1"/>
      <c r="R8" s="1"/>
      <c r="S8" s="1"/>
      <c r="T8" s="1"/>
      <c r="U8" s="1"/>
      <c r="V8" s="1"/>
      <c r="W8" s="1"/>
      <c r="X8" s="1"/>
      <c r="Y8" s="1"/>
      <c r="Z8" s="1"/>
      <c r="AA8" s="1"/>
    </row>
    <row r="9" spans="1:27" x14ac:dyDescent="0.2">
      <c r="A9" s="1"/>
      <c r="B9" s="1"/>
      <c r="C9" s="1"/>
      <c r="D9" s="1"/>
      <c r="E9" s="1"/>
      <c r="F9" s="1"/>
      <c r="G9" s="1"/>
      <c r="H9" s="1"/>
      <c r="I9" s="1"/>
      <c r="J9" s="1"/>
      <c r="K9" s="1"/>
      <c r="L9" s="1"/>
      <c r="M9" s="1"/>
      <c r="N9" s="1"/>
      <c r="O9" s="1"/>
      <c r="P9" s="1"/>
      <c r="Q9" s="1"/>
      <c r="R9" s="1"/>
      <c r="S9" s="1"/>
      <c r="T9" s="1"/>
      <c r="U9" s="1"/>
      <c r="V9" s="1"/>
      <c r="W9" s="1"/>
      <c r="X9" s="1"/>
      <c r="Y9" s="1"/>
      <c r="Z9" s="1"/>
      <c r="AA9" s="1"/>
    </row>
    <row r="10" spans="1:27" x14ac:dyDescent="0.2">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row>
  </sheetData>
  <sheetProtection algorithmName="SHA-512" hashValue="fTQjXUvrpRRVRxNdujEhw8sYUoDuOhcBxbiOsRNe/2cXz0QHbQyyI61901/9AOn5NhxkuLrLcRGxOrChT+GlxA==" saltValue="uAjI6MnOHGz+0hx5E+rYaQ==" spinCount="100000" sheet="1" objects="1" scenarios="1" selectLockedCells="1"/>
  <pageMargins left="0.7" right="0.7" top="0.75" bottom="0.75" header="0.3" footer="0.3"/>
  <pageSetup paperSize="9" orientation="portrait" r:id="rId1"/>
  <colBreaks count="1" manualBreakCount="1">
    <brk id="8" max="72" man="1"/>
  </colBreaks>
  <drawing r:id="rId2"/>
  <legacyDrawing r:id="rId3"/>
  <controls>
    <mc:AlternateContent xmlns:mc="http://schemas.openxmlformats.org/markup-compatibility/2006">
      <mc:Choice Requires="x14">
        <control shapeId="1025" r:id="rId4" name="NameBox">
          <controlPr defaultSize="0" autoLine="0" r:id="rId5">
            <anchor moveWithCells="1">
              <from>
                <xdr:col>1</xdr:col>
                <xdr:colOff>104775</xdr:colOff>
                <xdr:row>28</xdr:row>
                <xdr:rowOff>142875</xdr:rowOff>
              </from>
              <to>
                <xdr:col>6</xdr:col>
                <xdr:colOff>390525</xdr:colOff>
                <xdr:row>30</xdr:row>
                <xdr:rowOff>95250</xdr:rowOff>
              </to>
            </anchor>
          </controlPr>
        </control>
      </mc:Choice>
      <mc:Fallback>
        <control shapeId="1025" r:id="rId4" name="NameBox"/>
      </mc:Fallback>
    </mc:AlternateContent>
    <mc:AlternateContent xmlns:mc="http://schemas.openxmlformats.org/markup-compatibility/2006">
      <mc:Choice Requires="x14">
        <control shapeId="1026" r:id="rId6" name="NameLabel">
          <controlPr defaultSize="0" autoLine="0" r:id="rId7">
            <anchor moveWithCells="1">
              <from>
                <xdr:col>1</xdr:col>
                <xdr:colOff>152400</xdr:colOff>
                <xdr:row>27</xdr:row>
                <xdr:rowOff>85725</xdr:rowOff>
              </from>
              <to>
                <xdr:col>2</xdr:col>
                <xdr:colOff>228600</xdr:colOff>
                <xdr:row>28</xdr:row>
                <xdr:rowOff>123825</xdr:rowOff>
              </to>
            </anchor>
          </controlPr>
        </control>
      </mc:Choice>
      <mc:Fallback>
        <control shapeId="1026" r:id="rId6" name="NameLabel"/>
      </mc:Fallback>
    </mc:AlternateContent>
    <mc:AlternateContent xmlns:mc="http://schemas.openxmlformats.org/markup-compatibility/2006">
      <mc:Choice Requires="x14">
        <control shapeId="1027" r:id="rId8" name="BeginButton">
          <controlPr defaultSize="0" autoLine="0" r:id="rId9">
            <anchor moveWithCells="1">
              <from>
                <xdr:col>2</xdr:col>
                <xdr:colOff>666750</xdr:colOff>
                <xdr:row>30</xdr:row>
                <xdr:rowOff>123825</xdr:rowOff>
              </from>
              <to>
                <xdr:col>4</xdr:col>
                <xdr:colOff>381000</xdr:colOff>
                <xdr:row>32</xdr:row>
                <xdr:rowOff>104775</xdr:rowOff>
              </to>
            </anchor>
          </controlPr>
        </control>
      </mc:Choice>
      <mc:Fallback>
        <control shapeId="1027" r:id="rId8" name="Begin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utput_sheet">
    <tabColor rgb="FF2A295C"/>
  </sheetPr>
  <dimension ref="B12:G26"/>
  <sheetViews>
    <sheetView showGridLines="0" topLeftCell="A7" workbookViewId="0"/>
  </sheetViews>
  <sheetFormatPr defaultRowHeight="14.25" x14ac:dyDescent="0.2"/>
  <cols>
    <col min="1" max="5" width="9" style="2"/>
    <col min="6" max="6" width="9.625" style="2" customWidth="1"/>
    <col min="7" max="7" width="13" style="2" customWidth="1"/>
    <col min="8" max="16384" width="9" style="2"/>
  </cols>
  <sheetData>
    <row r="12" spans="2:7" ht="15.75" x14ac:dyDescent="0.25">
      <c r="B12" s="77" t="s">
        <v>54</v>
      </c>
      <c r="C12" s="77"/>
      <c r="D12" s="77"/>
      <c r="E12" s="77"/>
      <c r="F12" s="80" t="s">
        <v>55</v>
      </c>
      <c r="G12" s="80"/>
    </row>
    <row r="13" spans="2:7" ht="15.75" x14ac:dyDescent="0.25">
      <c r="B13" s="78" t="s">
        <v>24</v>
      </c>
      <c r="C13" s="79"/>
      <c r="D13" s="79"/>
      <c r="E13" s="79"/>
      <c r="F13" s="81">
        <f>Controller!H101</f>
        <v>0</v>
      </c>
      <c r="G13" s="82"/>
    </row>
    <row r="14" spans="2:7" ht="15.75" x14ac:dyDescent="0.25">
      <c r="B14" s="73" t="s">
        <v>27</v>
      </c>
      <c r="C14" s="74"/>
      <c r="D14" s="74"/>
      <c r="E14" s="74"/>
      <c r="F14" s="69">
        <f>Controller!H102</f>
        <v>0</v>
      </c>
      <c r="G14" s="70"/>
    </row>
    <row r="15" spans="2:7" ht="15.75" x14ac:dyDescent="0.25">
      <c r="B15" s="73" t="s">
        <v>30</v>
      </c>
      <c r="C15" s="74"/>
      <c r="D15" s="74"/>
      <c r="E15" s="74"/>
      <c r="F15" s="69">
        <f>Controller!H103</f>
        <v>0</v>
      </c>
      <c r="G15" s="70"/>
    </row>
    <row r="16" spans="2:7" ht="15.75" x14ac:dyDescent="0.25">
      <c r="B16" s="73" t="s">
        <v>33</v>
      </c>
      <c r="C16" s="74"/>
      <c r="D16" s="74"/>
      <c r="E16" s="74"/>
      <c r="F16" s="69">
        <f>Controller!H104</f>
        <v>0</v>
      </c>
      <c r="G16" s="70"/>
    </row>
    <row r="17" spans="2:7" ht="15.75" x14ac:dyDescent="0.25">
      <c r="B17" s="73" t="s">
        <v>36</v>
      </c>
      <c r="C17" s="74"/>
      <c r="D17" s="74"/>
      <c r="E17" s="74"/>
      <c r="F17" s="69">
        <f>Controller!H105</f>
        <v>0</v>
      </c>
      <c r="G17" s="70"/>
    </row>
    <row r="18" spans="2:7" ht="15.75" x14ac:dyDescent="0.25">
      <c r="B18" s="73" t="s">
        <v>38</v>
      </c>
      <c r="C18" s="74"/>
      <c r="D18" s="74"/>
      <c r="E18" s="74"/>
      <c r="F18" s="69">
        <f>Controller!H106</f>
        <v>0</v>
      </c>
      <c r="G18" s="70"/>
    </row>
    <row r="19" spans="2:7" ht="15.75" x14ac:dyDescent="0.25">
      <c r="B19" s="73" t="s">
        <v>40</v>
      </c>
      <c r="C19" s="74"/>
      <c r="D19" s="74"/>
      <c r="E19" s="74"/>
      <c r="F19" s="69">
        <f>Controller!H107</f>
        <v>0</v>
      </c>
      <c r="G19" s="70"/>
    </row>
    <row r="20" spans="2:7" ht="15.75" x14ac:dyDescent="0.25">
      <c r="B20" s="73" t="s">
        <v>42</v>
      </c>
      <c r="C20" s="74"/>
      <c r="D20" s="74"/>
      <c r="E20" s="74"/>
      <c r="F20" s="69">
        <f>Controller!H108</f>
        <v>0</v>
      </c>
      <c r="G20" s="70"/>
    </row>
    <row r="21" spans="2:7" ht="15.75" x14ac:dyDescent="0.25">
      <c r="B21" s="73" t="s">
        <v>44</v>
      </c>
      <c r="C21" s="74"/>
      <c r="D21" s="74"/>
      <c r="E21" s="74"/>
      <c r="F21" s="69">
        <f>Controller!H109</f>
        <v>0</v>
      </c>
      <c r="G21" s="70"/>
    </row>
    <row r="22" spans="2:7" ht="15.75" x14ac:dyDescent="0.25">
      <c r="B22" s="73" t="s">
        <v>46</v>
      </c>
      <c r="C22" s="74"/>
      <c r="D22" s="74"/>
      <c r="E22" s="74"/>
      <c r="F22" s="69">
        <f>Controller!H110</f>
        <v>0</v>
      </c>
      <c r="G22" s="70"/>
    </row>
    <row r="23" spans="2:7" ht="15.75" x14ac:dyDescent="0.25">
      <c r="B23" s="73" t="s">
        <v>48</v>
      </c>
      <c r="C23" s="74"/>
      <c r="D23" s="74"/>
      <c r="E23" s="74"/>
      <c r="F23" s="69">
        <f>Controller!H111</f>
        <v>0</v>
      </c>
      <c r="G23" s="70"/>
    </row>
    <row r="24" spans="2:7" ht="15.75" x14ac:dyDescent="0.25">
      <c r="B24" s="73" t="s">
        <v>50</v>
      </c>
      <c r="C24" s="74"/>
      <c r="D24" s="74"/>
      <c r="E24" s="74"/>
      <c r="F24" s="69">
        <f>Controller!H112</f>
        <v>0</v>
      </c>
      <c r="G24" s="70"/>
    </row>
    <row r="25" spans="2:7" ht="15.75" x14ac:dyDescent="0.25">
      <c r="B25" s="73" t="s">
        <v>52</v>
      </c>
      <c r="C25" s="74"/>
      <c r="D25" s="74"/>
      <c r="E25" s="74"/>
      <c r="F25" s="69">
        <f>Controller!H113</f>
        <v>0</v>
      </c>
      <c r="G25" s="70"/>
    </row>
    <row r="26" spans="2:7" ht="15.75" x14ac:dyDescent="0.25">
      <c r="B26" s="75" t="s">
        <v>53</v>
      </c>
      <c r="C26" s="76"/>
      <c r="D26" s="76"/>
      <c r="E26" s="76"/>
      <c r="F26" s="71">
        <f>Controller!H114</f>
        <v>0</v>
      </c>
      <c r="G26" s="72"/>
    </row>
  </sheetData>
  <sheetProtection selectLockedCells="1"/>
  <mergeCells count="30">
    <mergeCell ref="F12:G12"/>
    <mergeCell ref="F13:G13"/>
    <mergeCell ref="F14:G14"/>
    <mergeCell ref="F15:G15"/>
    <mergeCell ref="F16:G16"/>
    <mergeCell ref="B23:E23"/>
    <mergeCell ref="B24:E24"/>
    <mergeCell ref="B25:E25"/>
    <mergeCell ref="B26:E26"/>
    <mergeCell ref="B12:E12"/>
    <mergeCell ref="B22:E22"/>
    <mergeCell ref="B21:E21"/>
    <mergeCell ref="B13:E13"/>
    <mergeCell ref="B14:E14"/>
    <mergeCell ref="B15:E15"/>
    <mergeCell ref="B16:E16"/>
    <mergeCell ref="B17:E17"/>
    <mergeCell ref="B18:E18"/>
    <mergeCell ref="B19:E19"/>
    <mergeCell ref="B20:E20"/>
    <mergeCell ref="F23:G23"/>
    <mergeCell ref="F24:G24"/>
    <mergeCell ref="F25:G25"/>
    <mergeCell ref="F26:G26"/>
    <mergeCell ref="F17:G17"/>
    <mergeCell ref="F18:G18"/>
    <mergeCell ref="F19:G19"/>
    <mergeCell ref="F20:G20"/>
    <mergeCell ref="F21:G21"/>
    <mergeCell ref="F22:G22"/>
  </mergeCells>
  <conditionalFormatting sqref="F13:G26">
    <cfRule type="cellIs" dxfId="3" priority="4" operator="equal">
      <formula>"Exempt"</formula>
    </cfRule>
  </conditionalFormatting>
  <conditionalFormatting sqref="F13:G25">
    <cfRule type="cellIs" dxfId="2" priority="1" operator="equal">
      <formula>"Advanced"</formula>
    </cfRule>
    <cfRule type="cellIs" dxfId="1" priority="2" operator="equal">
      <formula>"Intermediate"</formula>
    </cfRule>
    <cfRule type="cellIs" dxfId="0" priority="3" operator="equal">
      <formula>"Basic"</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2051" r:id="rId4" name="output_name">
          <controlPr defaultSize="0" autoLine="0" r:id="rId5">
            <anchor moveWithCells="1">
              <from>
                <xdr:col>1</xdr:col>
                <xdr:colOff>28575</xdr:colOff>
                <xdr:row>8</xdr:row>
                <xdr:rowOff>19050</xdr:rowOff>
              </from>
              <to>
                <xdr:col>6</xdr:col>
                <xdr:colOff>400050</xdr:colOff>
                <xdr:row>10</xdr:row>
                <xdr:rowOff>38100</xdr:rowOff>
              </to>
            </anchor>
          </controlPr>
        </control>
      </mc:Choice>
      <mc:Fallback>
        <control shapeId="2051" r:id="rId4" name="output_nam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geone">
    <tabColor rgb="FF65676A"/>
    <pageSetUpPr fitToPage="1"/>
  </sheetPr>
  <dimension ref="B2:C28"/>
  <sheetViews>
    <sheetView workbookViewId="0">
      <selection activeCell="C4" sqref="C4"/>
    </sheetView>
  </sheetViews>
  <sheetFormatPr defaultRowHeight="22.5" customHeight="1" x14ac:dyDescent="0.2"/>
  <cols>
    <col min="1" max="1" width="9" style="1"/>
    <col min="2" max="2" width="50.625" style="12" bestFit="1" customWidth="1"/>
    <col min="3" max="3" width="40.5" style="1" customWidth="1"/>
    <col min="4" max="16384" width="9" style="1"/>
  </cols>
  <sheetData>
    <row r="2" spans="2:3" ht="22.5" customHeight="1" x14ac:dyDescent="0.2">
      <c r="B2" s="83" t="s">
        <v>69</v>
      </c>
      <c r="C2" s="84"/>
    </row>
    <row r="4" spans="2:3" ht="22.5" customHeight="1" x14ac:dyDescent="0.2">
      <c r="B4" s="13" t="s">
        <v>56</v>
      </c>
      <c r="C4" s="58"/>
    </row>
    <row r="5" spans="2:3" ht="22.5" customHeight="1" x14ac:dyDescent="0.2">
      <c r="B5" s="13" t="s">
        <v>57</v>
      </c>
      <c r="C5" s="54"/>
    </row>
    <row r="6" spans="2:3" ht="22.5" customHeight="1" x14ac:dyDescent="0.2">
      <c r="B6" s="13" t="s">
        <v>58</v>
      </c>
      <c r="C6" s="53"/>
    </row>
    <row r="7" spans="2:3" ht="22.5" customHeight="1" x14ac:dyDescent="0.2">
      <c r="B7" s="13" t="s">
        <v>59</v>
      </c>
      <c r="C7" s="54"/>
    </row>
    <row r="8" spans="2:3" ht="22.5" customHeight="1" x14ac:dyDescent="0.2">
      <c r="B8" s="13" t="s">
        <v>62</v>
      </c>
      <c r="C8" s="53"/>
    </row>
    <row r="9" spans="2:3" ht="22.5" customHeight="1" x14ac:dyDescent="0.2">
      <c r="B9" s="13" t="s">
        <v>63</v>
      </c>
      <c r="C9" s="53"/>
    </row>
    <row r="10" spans="2:3" ht="22.5" customHeight="1" x14ac:dyDescent="0.2">
      <c r="B10" s="13" t="s">
        <v>64</v>
      </c>
      <c r="C10" s="54"/>
    </row>
    <row r="12" spans="2:3" ht="22.5" customHeight="1" x14ac:dyDescent="0.2">
      <c r="B12" s="85" t="s">
        <v>70</v>
      </c>
      <c r="C12" s="86"/>
    </row>
    <row r="13" spans="2:3" ht="22.5" customHeight="1" x14ac:dyDescent="0.2">
      <c r="B13" s="15"/>
      <c r="C13" s="16" t="s">
        <v>1</v>
      </c>
    </row>
    <row r="14" spans="2:3" ht="22.5" customHeight="1" x14ac:dyDescent="0.2">
      <c r="B14" s="17" t="s">
        <v>2</v>
      </c>
      <c r="C14" s="53"/>
    </row>
    <row r="15" spans="2:3" ht="22.5" customHeight="1" x14ac:dyDescent="0.2">
      <c r="B15" s="17" t="s">
        <v>3</v>
      </c>
      <c r="C15" s="53"/>
    </row>
    <row r="16" spans="2:3" ht="22.5" customHeight="1" x14ac:dyDescent="0.2">
      <c r="B16" s="17" t="s">
        <v>4</v>
      </c>
      <c r="C16" s="53"/>
    </row>
    <row r="17" spans="2:3" ht="22.5" customHeight="1" x14ac:dyDescent="0.2">
      <c r="B17" s="17" t="s">
        <v>71</v>
      </c>
      <c r="C17" s="53"/>
    </row>
    <row r="18" spans="2:3" ht="22.5" customHeight="1" x14ac:dyDescent="0.2">
      <c r="B18" s="17" t="s">
        <v>72</v>
      </c>
      <c r="C18" s="53"/>
    </row>
    <row r="19" spans="2:3" ht="22.5" customHeight="1" x14ac:dyDescent="0.2">
      <c r="B19" s="17" t="s">
        <v>73</v>
      </c>
      <c r="C19" s="53"/>
    </row>
    <row r="20" spans="2:3" ht="22.5" customHeight="1" x14ac:dyDescent="0.2">
      <c r="B20" s="17" t="s">
        <v>5</v>
      </c>
      <c r="C20" s="53"/>
    </row>
    <row r="22" spans="2:3" ht="22.5" customHeight="1" x14ac:dyDescent="0.2">
      <c r="B22" s="85" t="s">
        <v>77</v>
      </c>
      <c r="C22" s="86"/>
    </row>
    <row r="23" spans="2:3" ht="22.5" customHeight="1" x14ac:dyDescent="0.2">
      <c r="B23" s="15"/>
      <c r="C23" s="16" t="s">
        <v>78</v>
      </c>
    </row>
    <row r="24" spans="2:3" ht="22.5" customHeight="1" x14ac:dyDescent="0.2">
      <c r="B24" s="17" t="s">
        <v>74</v>
      </c>
      <c r="C24" s="53"/>
    </row>
    <row r="25" spans="2:3" ht="22.5" customHeight="1" x14ac:dyDescent="0.2">
      <c r="B25" s="17" t="s">
        <v>6</v>
      </c>
      <c r="C25" s="53"/>
    </row>
    <row r="26" spans="2:3" ht="22.5" customHeight="1" x14ac:dyDescent="0.2">
      <c r="B26" s="17" t="s">
        <v>75</v>
      </c>
      <c r="C26" s="53"/>
    </row>
    <row r="27" spans="2:3" ht="22.5" customHeight="1" x14ac:dyDescent="0.2">
      <c r="B27" s="17" t="s">
        <v>7</v>
      </c>
      <c r="C27" s="53"/>
    </row>
    <row r="28" spans="2:3" ht="22.5" customHeight="1" x14ac:dyDescent="0.2">
      <c r="B28" s="17" t="s">
        <v>76</v>
      </c>
      <c r="C28" s="53"/>
    </row>
  </sheetData>
  <sheetProtection algorithmName="SHA-512" hashValue="g8Rbm2SV2MTQiKvay+sljJxeb8j1MH05tWCtn7OZitNpTDjGA/DYoEeHFrAof/DFMRnx7y4iW3O3R38Zwm1aIQ==" saltValue="G15Z/LJTeJgGsX7yBEFFhw==" spinCount="100000" sheet="1" objects="1" scenarios="1" selectLockedCells="1"/>
  <mergeCells count="3">
    <mergeCell ref="B2:C2"/>
    <mergeCell ref="B12:C12"/>
    <mergeCell ref="B22:C22"/>
  </mergeCells>
  <dataValidations count="2">
    <dataValidation type="decimal" allowBlank="1" showInputMessage="1" showErrorMessage="1" sqref="C6">
      <formula1>0</formula1>
      <formula2>100</formula2>
    </dataValidation>
    <dataValidation type="whole" allowBlank="1" showInputMessage="1" showErrorMessage="1" sqref="C14:C20 C24:C28">
      <formula1>0</formula1>
      <formula2>100</formula2>
    </dataValidation>
  </dataValidations>
  <pageMargins left="0.7" right="0.7" top="0.75" bottom="0.75" header="0.3" footer="0.3"/>
  <pageSetup paperSize="9" scale="73" orientation="portrait" r:id="rId1"/>
  <drawing r:id="rId2"/>
  <legacyDrawing r:id="rId3"/>
  <controls>
    <mc:AlternateContent xmlns:mc="http://schemas.openxmlformats.org/markup-compatibility/2006">
      <mc:Choice Requires="x14">
        <control shapeId="3080" r:id="rId4" name="ContBut1">
          <controlPr defaultSize="0" autoLine="0" r:id="rId5">
            <anchor moveWithCells="1">
              <from>
                <xdr:col>1</xdr:col>
                <xdr:colOff>2886075</xdr:colOff>
                <xdr:row>28</xdr:row>
                <xdr:rowOff>209550</xdr:rowOff>
              </from>
              <to>
                <xdr:col>2</xdr:col>
                <xdr:colOff>752475</xdr:colOff>
                <xdr:row>29</xdr:row>
                <xdr:rowOff>257175</xdr:rowOff>
              </to>
            </anchor>
          </controlPr>
        </control>
      </mc:Choice>
      <mc:Fallback>
        <control shapeId="3080" r:id="rId4" name="ContBut1"/>
      </mc:Fallback>
    </mc:AlternateContent>
    <mc:AlternateContent xmlns:mc="http://schemas.openxmlformats.org/markup-compatibility/2006">
      <mc:Choice Requires="x14">
        <control shapeId="3077" r:id="rId6" name="ComboBox3">
          <controlPr defaultSize="0" autoLine="0" linkedCell="C7" listFillRange="yesno" r:id="rId7">
            <anchor moveWithCells="1">
              <from>
                <xdr:col>2</xdr:col>
                <xdr:colOff>0</xdr:colOff>
                <xdr:row>6</xdr:row>
                <xdr:rowOff>0</xdr:rowOff>
              </from>
              <to>
                <xdr:col>3</xdr:col>
                <xdr:colOff>9525</xdr:colOff>
                <xdr:row>7</xdr:row>
                <xdr:rowOff>0</xdr:rowOff>
              </to>
            </anchor>
          </controlPr>
        </control>
      </mc:Choice>
      <mc:Fallback>
        <control shapeId="3077" r:id="rId6" name="ComboBox3"/>
      </mc:Fallback>
    </mc:AlternateContent>
    <mc:AlternateContent xmlns:mc="http://schemas.openxmlformats.org/markup-compatibility/2006">
      <mc:Choice Requires="x14">
        <control shapeId="3075" r:id="rId8" name="ComboBox2">
          <controlPr defaultSize="0" autoLine="0" linkedCell="C10" listFillRange="projecttypes" r:id="rId7">
            <anchor moveWithCells="1">
              <from>
                <xdr:col>2</xdr:col>
                <xdr:colOff>0</xdr:colOff>
                <xdr:row>9</xdr:row>
                <xdr:rowOff>0</xdr:rowOff>
              </from>
              <to>
                <xdr:col>3</xdr:col>
                <xdr:colOff>9525</xdr:colOff>
                <xdr:row>10</xdr:row>
                <xdr:rowOff>0</xdr:rowOff>
              </to>
            </anchor>
          </controlPr>
        </control>
      </mc:Choice>
      <mc:Fallback>
        <control shapeId="3075" r:id="rId8" name="ComboBox2"/>
      </mc:Fallback>
    </mc:AlternateContent>
    <mc:AlternateContent xmlns:mc="http://schemas.openxmlformats.org/markup-compatibility/2006">
      <mc:Choice Requires="x14">
        <control shapeId="3073" r:id="rId9" name="ComboBox1">
          <controlPr defaultSize="0" autoLine="0" linkedCell="C5" listFillRange="Personas" r:id="rId7">
            <anchor moveWithCells="1">
              <from>
                <xdr:col>2</xdr:col>
                <xdr:colOff>0</xdr:colOff>
                <xdr:row>4</xdr:row>
                <xdr:rowOff>0</xdr:rowOff>
              </from>
              <to>
                <xdr:col>3</xdr:col>
                <xdr:colOff>9525</xdr:colOff>
                <xdr:row>5</xdr:row>
                <xdr:rowOff>0</xdr:rowOff>
              </to>
            </anchor>
          </controlPr>
        </control>
      </mc:Choice>
      <mc:Fallback>
        <control shapeId="3073" r:id="rId9"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getwo">
    <tabColor rgb="FF65676A"/>
    <pageSetUpPr fitToPage="1"/>
  </sheetPr>
  <dimension ref="B2:F57"/>
  <sheetViews>
    <sheetView workbookViewId="0">
      <selection activeCell="C6" sqref="C6:F6"/>
    </sheetView>
  </sheetViews>
  <sheetFormatPr defaultRowHeight="22.5" customHeight="1" x14ac:dyDescent="0.2"/>
  <cols>
    <col min="1" max="1" width="9" style="1"/>
    <col min="2" max="2" width="50.625" style="12" customWidth="1"/>
    <col min="3" max="3" width="10.25" style="1" customWidth="1"/>
    <col min="4" max="6" width="9.625" style="1" customWidth="1"/>
    <col min="7" max="16384" width="9" style="1"/>
  </cols>
  <sheetData>
    <row r="2" spans="2:6" ht="22.5" customHeight="1" x14ac:dyDescent="0.2">
      <c r="B2" s="83" t="s">
        <v>86</v>
      </c>
      <c r="C2" s="90"/>
      <c r="D2" s="90"/>
      <c r="E2" s="90"/>
      <c r="F2" s="84"/>
    </row>
    <row r="4" spans="2:6" ht="22.5" customHeight="1" x14ac:dyDescent="0.2">
      <c r="B4" s="85" t="s">
        <v>87</v>
      </c>
      <c r="C4" s="92"/>
      <c r="D4" s="92"/>
      <c r="E4" s="92"/>
      <c r="F4" s="86"/>
    </row>
    <row r="5" spans="2:6" ht="22.5" customHeight="1" x14ac:dyDescent="0.2">
      <c r="B5" s="15"/>
      <c r="C5" s="95" t="s">
        <v>78</v>
      </c>
      <c r="D5" s="96"/>
      <c r="E5" s="96"/>
      <c r="F5" s="97"/>
    </row>
    <row r="6" spans="2:6" ht="22.5" customHeight="1" x14ac:dyDescent="0.2">
      <c r="B6" s="17" t="s">
        <v>88</v>
      </c>
      <c r="C6" s="94"/>
      <c r="D6" s="94"/>
      <c r="E6" s="94"/>
      <c r="F6" s="94"/>
    </row>
    <row r="7" spans="2:6" ht="22.5" customHeight="1" x14ac:dyDescent="0.2">
      <c r="B7" s="17" t="s">
        <v>89</v>
      </c>
      <c r="C7" s="94"/>
      <c r="D7" s="94"/>
      <c r="E7" s="94"/>
      <c r="F7" s="94"/>
    </row>
    <row r="8" spans="2:6" ht="22.5" customHeight="1" x14ac:dyDescent="0.2">
      <c r="B8" s="17" t="s">
        <v>90</v>
      </c>
      <c r="C8" s="94"/>
      <c r="D8" s="94"/>
      <c r="E8" s="94"/>
      <c r="F8" s="94"/>
    </row>
    <row r="10" spans="2:6" ht="22.5" customHeight="1" x14ac:dyDescent="0.2">
      <c r="B10" s="85" t="s">
        <v>98</v>
      </c>
      <c r="C10" s="92"/>
      <c r="D10" s="92"/>
      <c r="E10" s="92"/>
      <c r="F10" s="86"/>
    </row>
    <row r="11" spans="2:6" ht="22.5" customHeight="1" x14ac:dyDescent="0.2">
      <c r="B11" s="63" t="s">
        <v>234</v>
      </c>
      <c r="C11" s="24" t="s">
        <v>233</v>
      </c>
      <c r="D11" s="24" t="s">
        <v>95</v>
      </c>
      <c r="E11" s="24" t="s">
        <v>96</v>
      </c>
      <c r="F11" s="24" t="s">
        <v>97</v>
      </c>
    </row>
    <row r="12" spans="2:6" ht="30" customHeight="1" x14ac:dyDescent="0.2">
      <c r="B12" s="23" t="s">
        <v>91</v>
      </c>
      <c r="C12" s="14"/>
      <c r="D12" s="14"/>
      <c r="E12" s="14"/>
      <c r="F12" s="14"/>
    </row>
    <row r="13" spans="2:6" ht="28.5" x14ac:dyDescent="0.2">
      <c r="B13" s="23" t="s">
        <v>92</v>
      </c>
      <c r="C13" s="14"/>
      <c r="D13" s="14"/>
      <c r="E13" s="14"/>
      <c r="F13" s="14"/>
    </row>
    <row r="14" spans="2:6" ht="28.5" x14ac:dyDescent="0.2">
      <c r="B14" s="23" t="s">
        <v>93</v>
      </c>
      <c r="C14" s="14"/>
      <c r="D14" s="14"/>
      <c r="E14" s="14"/>
      <c r="F14" s="14"/>
    </row>
    <row r="15" spans="2:6" ht="28.5" x14ac:dyDescent="0.2">
      <c r="B15" s="23" t="s">
        <v>94</v>
      </c>
      <c r="C15" s="14"/>
      <c r="D15" s="14"/>
      <c r="E15" s="14"/>
      <c r="F15" s="14"/>
    </row>
    <row r="17" spans="2:6" ht="14.25" x14ac:dyDescent="0.2">
      <c r="B17" s="91" t="s">
        <v>99</v>
      </c>
      <c r="C17" s="92"/>
      <c r="D17" s="92"/>
      <c r="E17" s="92"/>
      <c r="F17" s="86"/>
    </row>
    <row r="18" spans="2:6" ht="22.5" customHeight="1" x14ac:dyDescent="0.2">
      <c r="B18" s="15"/>
      <c r="C18" s="25"/>
      <c r="D18" s="25"/>
      <c r="E18" s="93" t="s">
        <v>100</v>
      </c>
      <c r="F18" s="93"/>
    </row>
    <row r="19" spans="2:6" ht="22.5" customHeight="1" x14ac:dyDescent="0.2">
      <c r="B19" s="87" t="s">
        <v>8</v>
      </c>
      <c r="C19" s="87"/>
      <c r="D19" s="87"/>
      <c r="E19" s="88"/>
      <c r="F19" s="89"/>
    </row>
    <row r="20" spans="2:6" ht="22.5" customHeight="1" x14ac:dyDescent="0.2">
      <c r="B20" s="87" t="s">
        <v>9</v>
      </c>
      <c r="C20" s="87"/>
      <c r="D20" s="87"/>
      <c r="E20" s="88"/>
      <c r="F20" s="89"/>
    </row>
    <row r="21" spans="2:6" ht="22.5" customHeight="1" x14ac:dyDescent="0.2">
      <c r="B21" s="87" t="s">
        <v>10</v>
      </c>
      <c r="C21" s="87"/>
      <c r="D21" s="87"/>
      <c r="E21" s="88"/>
      <c r="F21" s="89"/>
    </row>
    <row r="22" spans="2:6" ht="22.5" customHeight="1" x14ac:dyDescent="0.2">
      <c r="B22" s="87" t="s">
        <v>11</v>
      </c>
      <c r="C22" s="87"/>
      <c r="D22" s="87"/>
      <c r="E22" s="88"/>
      <c r="F22" s="89"/>
    </row>
    <row r="24" spans="2:6" ht="14.25" x14ac:dyDescent="0.2">
      <c r="B24" s="91" t="s">
        <v>101</v>
      </c>
      <c r="C24" s="92"/>
      <c r="D24" s="92"/>
      <c r="E24" s="92"/>
      <c r="F24" s="86"/>
    </row>
    <row r="25" spans="2:6" ht="22.5" customHeight="1" x14ac:dyDescent="0.2">
      <c r="B25" s="15"/>
      <c r="C25" s="25"/>
      <c r="D25" s="25"/>
      <c r="E25" s="93" t="s">
        <v>100</v>
      </c>
      <c r="F25" s="93"/>
    </row>
    <row r="26" spans="2:6" ht="22.5" customHeight="1" x14ac:dyDescent="0.2">
      <c r="B26" s="87" t="s">
        <v>8</v>
      </c>
      <c r="C26" s="87"/>
      <c r="D26" s="87"/>
      <c r="E26" s="88"/>
      <c r="F26" s="89"/>
    </row>
    <row r="27" spans="2:6" ht="22.5" customHeight="1" x14ac:dyDescent="0.2">
      <c r="B27" s="87" t="s">
        <v>102</v>
      </c>
      <c r="C27" s="87"/>
      <c r="D27" s="87"/>
      <c r="E27" s="88"/>
      <c r="F27" s="89"/>
    </row>
    <row r="28" spans="2:6" ht="22.5" customHeight="1" x14ac:dyDescent="0.2">
      <c r="B28" s="87" t="s">
        <v>12</v>
      </c>
      <c r="C28" s="87"/>
      <c r="D28" s="87"/>
      <c r="E28" s="88"/>
      <c r="F28" s="89"/>
    </row>
    <row r="29" spans="2:6" ht="22.5" customHeight="1" x14ac:dyDescent="0.2">
      <c r="B29" s="87" t="s">
        <v>13</v>
      </c>
      <c r="C29" s="87"/>
      <c r="D29" s="87"/>
      <c r="E29" s="88"/>
      <c r="F29" s="89"/>
    </row>
    <row r="31" spans="2:6" ht="14.25" x14ac:dyDescent="0.2">
      <c r="B31" s="91" t="s">
        <v>103</v>
      </c>
      <c r="C31" s="92"/>
      <c r="D31" s="92"/>
      <c r="E31" s="92"/>
      <c r="F31" s="86"/>
    </row>
    <row r="32" spans="2:6" ht="22.5" customHeight="1" x14ac:dyDescent="0.2">
      <c r="B32" s="15"/>
      <c r="C32" s="25"/>
      <c r="D32" s="25"/>
      <c r="E32" s="93" t="s">
        <v>100</v>
      </c>
      <c r="F32" s="93"/>
    </row>
    <row r="33" spans="2:6" ht="22.5" customHeight="1" x14ac:dyDescent="0.2">
      <c r="B33" s="87" t="s">
        <v>14</v>
      </c>
      <c r="C33" s="87"/>
      <c r="D33" s="87"/>
      <c r="E33" s="88"/>
      <c r="F33" s="89"/>
    </row>
    <row r="34" spans="2:6" ht="22.5" customHeight="1" x14ac:dyDescent="0.2">
      <c r="B34" s="87" t="s">
        <v>15</v>
      </c>
      <c r="C34" s="87"/>
      <c r="D34" s="87"/>
      <c r="E34" s="88"/>
      <c r="F34" s="89"/>
    </row>
    <row r="35" spans="2:6" ht="22.5" customHeight="1" x14ac:dyDescent="0.2">
      <c r="B35" s="87" t="s">
        <v>16</v>
      </c>
      <c r="C35" s="87"/>
      <c r="D35" s="87"/>
      <c r="E35" s="88"/>
      <c r="F35" s="89"/>
    </row>
    <row r="36" spans="2:6" ht="22.5" customHeight="1" x14ac:dyDescent="0.2">
      <c r="B36" s="87" t="s">
        <v>17</v>
      </c>
      <c r="C36" s="87"/>
      <c r="D36" s="87"/>
      <c r="E36" s="88"/>
      <c r="F36" s="89"/>
    </row>
    <row r="38" spans="2:6" ht="14.25" x14ac:dyDescent="0.2">
      <c r="B38" s="91" t="s">
        <v>104</v>
      </c>
      <c r="C38" s="92"/>
      <c r="D38" s="92"/>
      <c r="E38" s="92"/>
      <c r="F38" s="86"/>
    </row>
    <row r="39" spans="2:6" ht="22.5" customHeight="1" x14ac:dyDescent="0.2">
      <c r="B39" s="15"/>
      <c r="C39" s="25"/>
      <c r="D39" s="25"/>
      <c r="E39" s="93" t="s">
        <v>100</v>
      </c>
      <c r="F39" s="93"/>
    </row>
    <row r="40" spans="2:6" ht="22.5" customHeight="1" x14ac:dyDescent="0.2">
      <c r="B40" s="87" t="s">
        <v>18</v>
      </c>
      <c r="C40" s="87"/>
      <c r="D40" s="87"/>
      <c r="E40" s="88"/>
      <c r="F40" s="89"/>
    </row>
    <row r="41" spans="2:6" ht="22.5" customHeight="1" x14ac:dyDescent="0.2">
      <c r="B41" s="87" t="s">
        <v>105</v>
      </c>
      <c r="C41" s="87"/>
      <c r="D41" s="87"/>
      <c r="E41" s="88"/>
      <c r="F41" s="89"/>
    </row>
    <row r="42" spans="2:6" ht="22.5" customHeight="1" x14ac:dyDescent="0.2">
      <c r="B42" s="87" t="s">
        <v>106</v>
      </c>
      <c r="C42" s="87"/>
      <c r="D42" s="87"/>
      <c r="E42" s="88"/>
      <c r="F42" s="89"/>
    </row>
    <row r="43" spans="2:6" ht="22.5" customHeight="1" x14ac:dyDescent="0.2">
      <c r="B43" s="87" t="s">
        <v>107</v>
      </c>
      <c r="C43" s="87"/>
      <c r="D43" s="87"/>
      <c r="E43" s="88"/>
      <c r="F43" s="89"/>
    </row>
    <row r="45" spans="2:6" ht="14.25" x14ac:dyDescent="0.2">
      <c r="B45" s="91" t="s">
        <v>108</v>
      </c>
      <c r="C45" s="92"/>
      <c r="D45" s="92"/>
      <c r="E45" s="92"/>
      <c r="F45" s="86"/>
    </row>
    <row r="46" spans="2:6" ht="22.5" customHeight="1" x14ac:dyDescent="0.2">
      <c r="B46" s="15"/>
      <c r="C46" s="25"/>
      <c r="D46" s="25"/>
      <c r="E46" s="93" t="s">
        <v>100</v>
      </c>
      <c r="F46" s="93"/>
    </row>
    <row r="47" spans="2:6" ht="22.5" customHeight="1" x14ac:dyDescent="0.2">
      <c r="B47" s="87" t="s">
        <v>109</v>
      </c>
      <c r="C47" s="87"/>
      <c r="D47" s="87"/>
      <c r="E47" s="88"/>
      <c r="F47" s="89"/>
    </row>
    <row r="48" spans="2:6" ht="22.5" customHeight="1" x14ac:dyDescent="0.2">
      <c r="B48" s="87" t="s">
        <v>110</v>
      </c>
      <c r="C48" s="87"/>
      <c r="D48" s="87"/>
      <c r="E48" s="88"/>
      <c r="F48" s="89"/>
    </row>
    <row r="49" spans="2:6" ht="22.5" customHeight="1" x14ac:dyDescent="0.2">
      <c r="B49" s="87" t="s">
        <v>111</v>
      </c>
      <c r="C49" s="87"/>
      <c r="D49" s="87"/>
      <c r="E49" s="88"/>
      <c r="F49" s="89"/>
    </row>
    <row r="50" spans="2:6" ht="31.5" customHeight="1" x14ac:dyDescent="0.2">
      <c r="B50" s="87" t="s">
        <v>112</v>
      </c>
      <c r="C50" s="87"/>
      <c r="D50" s="87"/>
      <c r="E50" s="88"/>
      <c r="F50" s="89"/>
    </row>
    <row r="52" spans="2:6" ht="14.25" x14ac:dyDescent="0.2">
      <c r="B52" s="91" t="s">
        <v>113</v>
      </c>
      <c r="C52" s="92"/>
      <c r="D52" s="92"/>
      <c r="E52" s="92"/>
      <c r="F52" s="86"/>
    </row>
    <row r="53" spans="2:6" ht="22.5" customHeight="1" x14ac:dyDescent="0.2">
      <c r="B53" s="15"/>
      <c r="C53" s="25"/>
      <c r="D53" s="25"/>
      <c r="E53" s="93" t="s">
        <v>100</v>
      </c>
      <c r="F53" s="93"/>
    </row>
    <row r="54" spans="2:6" ht="22.5" customHeight="1" x14ac:dyDescent="0.2">
      <c r="B54" s="87" t="s">
        <v>114</v>
      </c>
      <c r="C54" s="87"/>
      <c r="D54" s="87"/>
      <c r="E54" s="88"/>
      <c r="F54" s="89"/>
    </row>
    <row r="55" spans="2:6" ht="22.5" customHeight="1" x14ac:dyDescent="0.2">
      <c r="B55" s="87" t="s">
        <v>115</v>
      </c>
      <c r="C55" s="87"/>
      <c r="D55" s="87"/>
      <c r="E55" s="88"/>
      <c r="F55" s="89"/>
    </row>
    <row r="56" spans="2:6" ht="22.5" customHeight="1" x14ac:dyDescent="0.2">
      <c r="B56" s="87" t="s">
        <v>116</v>
      </c>
      <c r="C56" s="87"/>
      <c r="D56" s="87"/>
      <c r="E56" s="88"/>
      <c r="F56" s="89"/>
    </row>
    <row r="57" spans="2:6" ht="22.5" customHeight="1" x14ac:dyDescent="0.2">
      <c r="B57" s="87" t="s">
        <v>117</v>
      </c>
      <c r="C57" s="87"/>
      <c r="D57" s="87"/>
      <c r="E57" s="88"/>
      <c r="F57" s="89"/>
    </row>
  </sheetData>
  <sheetProtection algorithmName="SHA-512" hashValue="UigN2ECA5V1KaFVVVe9FO1lxdU2TXxeQgZy77iUScFLHe2TAnl+YzIhgq2z+HSHDAKgfkn3s8TldUzalAoGHoQ==" saltValue="WYUa9oEmtO1yzpwzZhdkxQ==" spinCount="100000" sheet="1" objects="1" scenarios="1" selectLockedCells="1"/>
  <mergeCells count="67">
    <mergeCell ref="B4:F4"/>
    <mergeCell ref="B22:D22"/>
    <mergeCell ref="E19:F19"/>
    <mergeCell ref="E20:F20"/>
    <mergeCell ref="E21:F21"/>
    <mergeCell ref="E22:F22"/>
    <mergeCell ref="B17:F17"/>
    <mergeCell ref="B19:D19"/>
    <mergeCell ref="E18:F18"/>
    <mergeCell ref="B20:D20"/>
    <mergeCell ref="B21:D21"/>
    <mergeCell ref="B10:F10"/>
    <mergeCell ref="C6:F6"/>
    <mergeCell ref="C7:F7"/>
    <mergeCell ref="C8:F8"/>
    <mergeCell ref="C5:F5"/>
    <mergeCell ref="E32:F32"/>
    <mergeCell ref="B24:F24"/>
    <mergeCell ref="E25:F25"/>
    <mergeCell ref="B26:D26"/>
    <mergeCell ref="E26:F26"/>
    <mergeCell ref="B27:D27"/>
    <mergeCell ref="E27:F27"/>
    <mergeCell ref="B28:D28"/>
    <mergeCell ref="E28:F28"/>
    <mergeCell ref="B29:D29"/>
    <mergeCell ref="E29:F29"/>
    <mergeCell ref="B31:F31"/>
    <mergeCell ref="B33:D33"/>
    <mergeCell ref="E33:F33"/>
    <mergeCell ref="B34:D34"/>
    <mergeCell ref="E34:F34"/>
    <mergeCell ref="B35:D35"/>
    <mergeCell ref="E35:F35"/>
    <mergeCell ref="B36:D36"/>
    <mergeCell ref="E36:F36"/>
    <mergeCell ref="B38:F38"/>
    <mergeCell ref="E39:F39"/>
    <mergeCell ref="B40:D40"/>
    <mergeCell ref="E40:F40"/>
    <mergeCell ref="B41:D41"/>
    <mergeCell ref="E41:F41"/>
    <mergeCell ref="B42:D42"/>
    <mergeCell ref="E42:F42"/>
    <mergeCell ref="B43:D43"/>
    <mergeCell ref="E43:F43"/>
    <mergeCell ref="E46:F46"/>
    <mergeCell ref="B47:D47"/>
    <mergeCell ref="E47:F47"/>
    <mergeCell ref="B48:D48"/>
    <mergeCell ref="E48:F48"/>
    <mergeCell ref="B57:D57"/>
    <mergeCell ref="E57:F57"/>
    <mergeCell ref="B2:F2"/>
    <mergeCell ref="B54:D54"/>
    <mergeCell ref="E54:F54"/>
    <mergeCell ref="B55:D55"/>
    <mergeCell ref="E55:F55"/>
    <mergeCell ref="B56:D56"/>
    <mergeCell ref="E56:F56"/>
    <mergeCell ref="B49:D49"/>
    <mergeCell ref="E49:F49"/>
    <mergeCell ref="B50:D50"/>
    <mergeCell ref="E50:F50"/>
    <mergeCell ref="B52:F52"/>
    <mergeCell ref="E53:F53"/>
    <mergeCell ref="B45:F45"/>
  </mergeCells>
  <dataValidations count="1">
    <dataValidation type="whole" allowBlank="1" showInputMessage="1" showErrorMessage="1" sqref="C6:C8 C12:C16 C20:C23 C27:C30 C34:C36 C41:C43 C48:C50 C55:C57">
      <formula1>0</formula1>
      <formula2>100</formula2>
    </dataValidation>
  </dataValidations>
  <pageMargins left="0.7" right="0.7" top="0.75" bottom="0.75" header="0.3" footer="0.3"/>
  <pageSetup paperSize="9" scale="82" fitToHeight="0" orientation="portrait" r:id="rId1"/>
  <drawing r:id="rId2"/>
  <legacyDrawing r:id="rId3"/>
  <controls>
    <mc:AlternateContent xmlns:mc="http://schemas.openxmlformats.org/markup-compatibility/2006">
      <mc:Choice Requires="x14">
        <control shapeId="9272" r:id="rId4" name="BackButtonTwo">
          <controlPr defaultSize="0" autoLine="0" r:id="rId5">
            <anchor moveWithCells="1">
              <from>
                <xdr:col>1</xdr:col>
                <xdr:colOff>1695450</xdr:colOff>
                <xdr:row>58</xdr:row>
                <xdr:rowOff>9525</xdr:rowOff>
              </from>
              <to>
                <xdr:col>1</xdr:col>
                <xdr:colOff>3419475</xdr:colOff>
                <xdr:row>59</xdr:row>
                <xdr:rowOff>57150</xdr:rowOff>
              </to>
            </anchor>
          </controlPr>
        </control>
      </mc:Choice>
      <mc:Fallback>
        <control shapeId="9272" r:id="rId4" name="BackButtonTwo"/>
      </mc:Fallback>
    </mc:AlternateContent>
    <mc:AlternateContent xmlns:mc="http://schemas.openxmlformats.org/markup-compatibility/2006">
      <mc:Choice Requires="x14">
        <control shapeId="9220" r:id="rId6" name="ContBut2">
          <controlPr defaultSize="0" autoLine="0" r:id="rId7">
            <anchor moveWithCells="1">
              <from>
                <xdr:col>1</xdr:col>
                <xdr:colOff>3495675</xdr:colOff>
                <xdr:row>58</xdr:row>
                <xdr:rowOff>9525</xdr:rowOff>
              </from>
              <to>
                <xdr:col>3</xdr:col>
                <xdr:colOff>581025</xdr:colOff>
                <xdr:row>59</xdr:row>
                <xdr:rowOff>57150</xdr:rowOff>
              </to>
            </anchor>
          </controlPr>
        </control>
      </mc:Choice>
      <mc:Fallback>
        <control shapeId="9220" r:id="rId6" name="ContBut2"/>
      </mc:Fallback>
    </mc:AlternateContent>
    <mc:AlternateContent xmlns:mc="http://schemas.openxmlformats.org/markup-compatibility/2006">
      <mc:Choice Requires="x14">
        <control shapeId="9224" r:id="rId8" name="twooneone">
          <controlPr defaultSize="0" autoLine="0" r:id="rId9">
            <anchor moveWithCells="1">
              <from>
                <xdr:col>2</xdr:col>
                <xdr:colOff>276225</xdr:colOff>
                <xdr:row>11</xdr:row>
                <xdr:rowOff>123825</xdr:rowOff>
              </from>
              <to>
                <xdr:col>2</xdr:col>
                <xdr:colOff>523875</xdr:colOff>
                <xdr:row>11</xdr:row>
                <xdr:rowOff>323850</xdr:rowOff>
              </to>
            </anchor>
          </controlPr>
        </control>
      </mc:Choice>
      <mc:Fallback>
        <control shapeId="9224" r:id="rId8" name="twooneone"/>
      </mc:Fallback>
    </mc:AlternateContent>
    <mc:AlternateContent xmlns:mc="http://schemas.openxmlformats.org/markup-compatibility/2006">
      <mc:Choice Requires="x14">
        <control shapeId="9225" r:id="rId10" name="twoonetwo">
          <controlPr defaultSize="0" autoLine="0" r:id="rId9">
            <anchor moveWithCells="1">
              <from>
                <xdr:col>3</xdr:col>
                <xdr:colOff>276225</xdr:colOff>
                <xdr:row>11</xdr:row>
                <xdr:rowOff>123825</xdr:rowOff>
              </from>
              <to>
                <xdr:col>3</xdr:col>
                <xdr:colOff>523875</xdr:colOff>
                <xdr:row>11</xdr:row>
                <xdr:rowOff>323850</xdr:rowOff>
              </to>
            </anchor>
          </controlPr>
        </control>
      </mc:Choice>
      <mc:Fallback>
        <control shapeId="9225" r:id="rId10" name="twoonetwo"/>
      </mc:Fallback>
    </mc:AlternateContent>
    <mc:AlternateContent xmlns:mc="http://schemas.openxmlformats.org/markup-compatibility/2006">
      <mc:Choice Requires="x14">
        <control shapeId="9226" r:id="rId11" name="twoonethree">
          <controlPr defaultSize="0" autoLine="0" r:id="rId9">
            <anchor moveWithCells="1">
              <from>
                <xdr:col>4</xdr:col>
                <xdr:colOff>276225</xdr:colOff>
                <xdr:row>11</xdr:row>
                <xdr:rowOff>123825</xdr:rowOff>
              </from>
              <to>
                <xdr:col>4</xdr:col>
                <xdr:colOff>523875</xdr:colOff>
                <xdr:row>11</xdr:row>
                <xdr:rowOff>323850</xdr:rowOff>
              </to>
            </anchor>
          </controlPr>
        </control>
      </mc:Choice>
      <mc:Fallback>
        <control shapeId="9226" r:id="rId11" name="twoonethree"/>
      </mc:Fallback>
    </mc:AlternateContent>
    <mc:AlternateContent xmlns:mc="http://schemas.openxmlformats.org/markup-compatibility/2006">
      <mc:Choice Requires="x14">
        <control shapeId="9227" r:id="rId12" name="twoonefour">
          <controlPr defaultSize="0" autoLine="0" r:id="rId9">
            <anchor moveWithCells="1">
              <from>
                <xdr:col>5</xdr:col>
                <xdr:colOff>276225</xdr:colOff>
                <xdr:row>11</xdr:row>
                <xdr:rowOff>123825</xdr:rowOff>
              </from>
              <to>
                <xdr:col>5</xdr:col>
                <xdr:colOff>523875</xdr:colOff>
                <xdr:row>11</xdr:row>
                <xdr:rowOff>323850</xdr:rowOff>
              </to>
            </anchor>
          </controlPr>
        </control>
      </mc:Choice>
      <mc:Fallback>
        <control shapeId="9227" r:id="rId12" name="twoonefour"/>
      </mc:Fallback>
    </mc:AlternateContent>
    <mc:AlternateContent xmlns:mc="http://schemas.openxmlformats.org/markup-compatibility/2006">
      <mc:Choice Requires="x14">
        <control shapeId="9228" r:id="rId13" name="twotwoone">
          <controlPr defaultSize="0" autoLine="0" r:id="rId9">
            <anchor moveWithCells="1">
              <from>
                <xdr:col>2</xdr:col>
                <xdr:colOff>276225</xdr:colOff>
                <xdr:row>12</xdr:row>
                <xdr:rowOff>123825</xdr:rowOff>
              </from>
              <to>
                <xdr:col>2</xdr:col>
                <xdr:colOff>523875</xdr:colOff>
                <xdr:row>12</xdr:row>
                <xdr:rowOff>323850</xdr:rowOff>
              </to>
            </anchor>
          </controlPr>
        </control>
      </mc:Choice>
      <mc:Fallback>
        <control shapeId="9228" r:id="rId13" name="twotwoone"/>
      </mc:Fallback>
    </mc:AlternateContent>
    <mc:AlternateContent xmlns:mc="http://schemas.openxmlformats.org/markup-compatibility/2006">
      <mc:Choice Requires="x14">
        <control shapeId="9229" r:id="rId14" name="twotwotwo">
          <controlPr defaultSize="0" autoLine="0" r:id="rId9">
            <anchor moveWithCells="1">
              <from>
                <xdr:col>3</xdr:col>
                <xdr:colOff>276225</xdr:colOff>
                <xdr:row>12</xdr:row>
                <xdr:rowOff>123825</xdr:rowOff>
              </from>
              <to>
                <xdr:col>3</xdr:col>
                <xdr:colOff>523875</xdr:colOff>
                <xdr:row>12</xdr:row>
                <xdr:rowOff>323850</xdr:rowOff>
              </to>
            </anchor>
          </controlPr>
        </control>
      </mc:Choice>
      <mc:Fallback>
        <control shapeId="9229" r:id="rId14" name="twotwotwo"/>
      </mc:Fallback>
    </mc:AlternateContent>
    <mc:AlternateContent xmlns:mc="http://schemas.openxmlformats.org/markup-compatibility/2006">
      <mc:Choice Requires="x14">
        <control shapeId="9230" r:id="rId15" name="twotwothree">
          <controlPr defaultSize="0" autoLine="0" r:id="rId9">
            <anchor moveWithCells="1">
              <from>
                <xdr:col>4</xdr:col>
                <xdr:colOff>276225</xdr:colOff>
                <xdr:row>12</xdr:row>
                <xdr:rowOff>123825</xdr:rowOff>
              </from>
              <to>
                <xdr:col>4</xdr:col>
                <xdr:colOff>523875</xdr:colOff>
                <xdr:row>12</xdr:row>
                <xdr:rowOff>323850</xdr:rowOff>
              </to>
            </anchor>
          </controlPr>
        </control>
      </mc:Choice>
      <mc:Fallback>
        <control shapeId="9230" r:id="rId15" name="twotwothree"/>
      </mc:Fallback>
    </mc:AlternateContent>
    <mc:AlternateContent xmlns:mc="http://schemas.openxmlformats.org/markup-compatibility/2006">
      <mc:Choice Requires="x14">
        <control shapeId="9231" r:id="rId16" name="twotwofour">
          <controlPr defaultSize="0" autoLine="0" r:id="rId9">
            <anchor moveWithCells="1">
              <from>
                <xdr:col>5</xdr:col>
                <xdr:colOff>276225</xdr:colOff>
                <xdr:row>12</xdr:row>
                <xdr:rowOff>123825</xdr:rowOff>
              </from>
              <to>
                <xdr:col>5</xdr:col>
                <xdr:colOff>523875</xdr:colOff>
                <xdr:row>12</xdr:row>
                <xdr:rowOff>323850</xdr:rowOff>
              </to>
            </anchor>
          </controlPr>
        </control>
      </mc:Choice>
      <mc:Fallback>
        <control shapeId="9231" r:id="rId16" name="twotwofour"/>
      </mc:Fallback>
    </mc:AlternateContent>
    <mc:AlternateContent xmlns:mc="http://schemas.openxmlformats.org/markup-compatibility/2006">
      <mc:Choice Requires="x14">
        <control shapeId="9232" r:id="rId17" name="twothreeone">
          <controlPr defaultSize="0" autoLine="0" r:id="rId9">
            <anchor moveWithCells="1">
              <from>
                <xdr:col>2</xdr:col>
                <xdr:colOff>276225</xdr:colOff>
                <xdr:row>13</xdr:row>
                <xdr:rowOff>123825</xdr:rowOff>
              </from>
              <to>
                <xdr:col>2</xdr:col>
                <xdr:colOff>523875</xdr:colOff>
                <xdr:row>13</xdr:row>
                <xdr:rowOff>323850</xdr:rowOff>
              </to>
            </anchor>
          </controlPr>
        </control>
      </mc:Choice>
      <mc:Fallback>
        <control shapeId="9232" r:id="rId17" name="twothreeone"/>
      </mc:Fallback>
    </mc:AlternateContent>
    <mc:AlternateContent xmlns:mc="http://schemas.openxmlformats.org/markup-compatibility/2006">
      <mc:Choice Requires="x14">
        <control shapeId="9233" r:id="rId18" name="twothreetwo">
          <controlPr defaultSize="0" autoLine="0" r:id="rId9">
            <anchor moveWithCells="1">
              <from>
                <xdr:col>3</xdr:col>
                <xdr:colOff>276225</xdr:colOff>
                <xdr:row>13</xdr:row>
                <xdr:rowOff>123825</xdr:rowOff>
              </from>
              <to>
                <xdr:col>3</xdr:col>
                <xdr:colOff>523875</xdr:colOff>
                <xdr:row>13</xdr:row>
                <xdr:rowOff>323850</xdr:rowOff>
              </to>
            </anchor>
          </controlPr>
        </control>
      </mc:Choice>
      <mc:Fallback>
        <control shapeId="9233" r:id="rId18" name="twothreetwo"/>
      </mc:Fallback>
    </mc:AlternateContent>
    <mc:AlternateContent xmlns:mc="http://schemas.openxmlformats.org/markup-compatibility/2006">
      <mc:Choice Requires="x14">
        <control shapeId="9234" r:id="rId19" name="twothreethree">
          <controlPr defaultSize="0" autoLine="0" r:id="rId9">
            <anchor moveWithCells="1">
              <from>
                <xdr:col>4</xdr:col>
                <xdr:colOff>276225</xdr:colOff>
                <xdr:row>13</xdr:row>
                <xdr:rowOff>123825</xdr:rowOff>
              </from>
              <to>
                <xdr:col>4</xdr:col>
                <xdr:colOff>523875</xdr:colOff>
                <xdr:row>13</xdr:row>
                <xdr:rowOff>323850</xdr:rowOff>
              </to>
            </anchor>
          </controlPr>
        </control>
      </mc:Choice>
      <mc:Fallback>
        <control shapeId="9234" r:id="rId19" name="twothreethree"/>
      </mc:Fallback>
    </mc:AlternateContent>
    <mc:AlternateContent xmlns:mc="http://schemas.openxmlformats.org/markup-compatibility/2006">
      <mc:Choice Requires="x14">
        <control shapeId="9235" r:id="rId20" name="twothreefour">
          <controlPr defaultSize="0" autoLine="0" r:id="rId9">
            <anchor moveWithCells="1">
              <from>
                <xdr:col>5</xdr:col>
                <xdr:colOff>276225</xdr:colOff>
                <xdr:row>13</xdr:row>
                <xdr:rowOff>123825</xdr:rowOff>
              </from>
              <to>
                <xdr:col>5</xdr:col>
                <xdr:colOff>523875</xdr:colOff>
                <xdr:row>13</xdr:row>
                <xdr:rowOff>323850</xdr:rowOff>
              </to>
            </anchor>
          </controlPr>
        </control>
      </mc:Choice>
      <mc:Fallback>
        <control shapeId="9235" r:id="rId20" name="twothreefour"/>
      </mc:Fallback>
    </mc:AlternateContent>
    <mc:AlternateContent xmlns:mc="http://schemas.openxmlformats.org/markup-compatibility/2006">
      <mc:Choice Requires="x14">
        <control shapeId="9236" r:id="rId21" name="twofourone">
          <controlPr defaultSize="0" autoLine="0" r:id="rId9">
            <anchor moveWithCells="1">
              <from>
                <xdr:col>2</xdr:col>
                <xdr:colOff>276225</xdr:colOff>
                <xdr:row>14</xdr:row>
                <xdr:rowOff>123825</xdr:rowOff>
              </from>
              <to>
                <xdr:col>2</xdr:col>
                <xdr:colOff>523875</xdr:colOff>
                <xdr:row>14</xdr:row>
                <xdr:rowOff>323850</xdr:rowOff>
              </to>
            </anchor>
          </controlPr>
        </control>
      </mc:Choice>
      <mc:Fallback>
        <control shapeId="9236" r:id="rId21" name="twofourone"/>
      </mc:Fallback>
    </mc:AlternateContent>
    <mc:AlternateContent xmlns:mc="http://schemas.openxmlformats.org/markup-compatibility/2006">
      <mc:Choice Requires="x14">
        <control shapeId="9237" r:id="rId22" name="twofourtwo">
          <controlPr defaultSize="0" autoLine="0" r:id="rId9">
            <anchor moveWithCells="1">
              <from>
                <xdr:col>3</xdr:col>
                <xdr:colOff>276225</xdr:colOff>
                <xdr:row>14</xdr:row>
                <xdr:rowOff>123825</xdr:rowOff>
              </from>
              <to>
                <xdr:col>3</xdr:col>
                <xdr:colOff>523875</xdr:colOff>
                <xdr:row>14</xdr:row>
                <xdr:rowOff>323850</xdr:rowOff>
              </to>
            </anchor>
          </controlPr>
        </control>
      </mc:Choice>
      <mc:Fallback>
        <control shapeId="9237" r:id="rId22" name="twofourtwo"/>
      </mc:Fallback>
    </mc:AlternateContent>
    <mc:AlternateContent xmlns:mc="http://schemas.openxmlformats.org/markup-compatibility/2006">
      <mc:Choice Requires="x14">
        <control shapeId="9238" r:id="rId23" name="twofourthree">
          <controlPr defaultSize="0" autoLine="0" r:id="rId9">
            <anchor moveWithCells="1">
              <from>
                <xdr:col>4</xdr:col>
                <xdr:colOff>276225</xdr:colOff>
                <xdr:row>14</xdr:row>
                <xdr:rowOff>123825</xdr:rowOff>
              </from>
              <to>
                <xdr:col>4</xdr:col>
                <xdr:colOff>523875</xdr:colOff>
                <xdr:row>14</xdr:row>
                <xdr:rowOff>323850</xdr:rowOff>
              </to>
            </anchor>
          </controlPr>
        </control>
      </mc:Choice>
      <mc:Fallback>
        <control shapeId="9238" r:id="rId23" name="twofourthree"/>
      </mc:Fallback>
    </mc:AlternateContent>
    <mc:AlternateContent xmlns:mc="http://schemas.openxmlformats.org/markup-compatibility/2006">
      <mc:Choice Requires="x14">
        <control shapeId="9239" r:id="rId24" name="twofourfour">
          <controlPr defaultSize="0" autoLine="0" r:id="rId9">
            <anchor moveWithCells="1">
              <from>
                <xdr:col>5</xdr:col>
                <xdr:colOff>276225</xdr:colOff>
                <xdr:row>14</xdr:row>
                <xdr:rowOff>123825</xdr:rowOff>
              </from>
              <to>
                <xdr:col>5</xdr:col>
                <xdr:colOff>523875</xdr:colOff>
                <xdr:row>14</xdr:row>
                <xdr:rowOff>323850</xdr:rowOff>
              </to>
            </anchor>
          </controlPr>
        </control>
      </mc:Choice>
      <mc:Fallback>
        <control shapeId="9239" r:id="rId24" name="twofourfour"/>
      </mc:Fallback>
    </mc:AlternateContent>
    <mc:AlternateContent xmlns:mc="http://schemas.openxmlformats.org/markup-compatibility/2006">
      <mc:Choice Requires="x14">
        <control shapeId="9240" r:id="rId25" name="twofiveone">
          <controlPr defaultSize="0" autoLine="0" r:id="rId9">
            <anchor moveWithCells="1">
              <from>
                <xdr:col>4</xdr:col>
                <xdr:colOff>619125</xdr:colOff>
                <xdr:row>18</xdr:row>
                <xdr:rowOff>57150</xdr:rowOff>
              </from>
              <to>
                <xdr:col>5</xdr:col>
                <xdr:colOff>133350</xdr:colOff>
                <xdr:row>18</xdr:row>
                <xdr:rowOff>257175</xdr:rowOff>
              </to>
            </anchor>
          </controlPr>
        </control>
      </mc:Choice>
      <mc:Fallback>
        <control shapeId="9240" r:id="rId25" name="twofiveone"/>
      </mc:Fallback>
    </mc:AlternateContent>
    <mc:AlternateContent xmlns:mc="http://schemas.openxmlformats.org/markup-compatibility/2006">
      <mc:Choice Requires="x14">
        <control shapeId="9241" r:id="rId26" name="twofivetwo">
          <controlPr defaultSize="0" autoLine="0" r:id="rId9">
            <anchor moveWithCells="1">
              <from>
                <xdr:col>4</xdr:col>
                <xdr:colOff>619125</xdr:colOff>
                <xdr:row>19</xdr:row>
                <xdr:rowOff>57150</xdr:rowOff>
              </from>
              <to>
                <xdr:col>5</xdr:col>
                <xdr:colOff>133350</xdr:colOff>
                <xdr:row>19</xdr:row>
                <xdr:rowOff>257175</xdr:rowOff>
              </to>
            </anchor>
          </controlPr>
        </control>
      </mc:Choice>
      <mc:Fallback>
        <control shapeId="9241" r:id="rId26" name="twofivetwo"/>
      </mc:Fallback>
    </mc:AlternateContent>
    <mc:AlternateContent xmlns:mc="http://schemas.openxmlformats.org/markup-compatibility/2006">
      <mc:Choice Requires="x14">
        <control shapeId="9242" r:id="rId27" name="twofivethree">
          <controlPr defaultSize="0" autoLine="0" r:id="rId9">
            <anchor moveWithCells="1">
              <from>
                <xdr:col>4</xdr:col>
                <xdr:colOff>619125</xdr:colOff>
                <xdr:row>20</xdr:row>
                <xdr:rowOff>57150</xdr:rowOff>
              </from>
              <to>
                <xdr:col>5</xdr:col>
                <xdr:colOff>133350</xdr:colOff>
                <xdr:row>20</xdr:row>
                <xdr:rowOff>257175</xdr:rowOff>
              </to>
            </anchor>
          </controlPr>
        </control>
      </mc:Choice>
      <mc:Fallback>
        <control shapeId="9242" r:id="rId27" name="twofivethree"/>
      </mc:Fallback>
    </mc:AlternateContent>
    <mc:AlternateContent xmlns:mc="http://schemas.openxmlformats.org/markup-compatibility/2006">
      <mc:Choice Requires="x14">
        <control shapeId="9243" r:id="rId28" name="twofivefour">
          <controlPr defaultSize="0" autoLine="0" r:id="rId9">
            <anchor moveWithCells="1">
              <from>
                <xdr:col>4</xdr:col>
                <xdr:colOff>619125</xdr:colOff>
                <xdr:row>21</xdr:row>
                <xdr:rowOff>57150</xdr:rowOff>
              </from>
              <to>
                <xdr:col>5</xdr:col>
                <xdr:colOff>133350</xdr:colOff>
                <xdr:row>21</xdr:row>
                <xdr:rowOff>257175</xdr:rowOff>
              </to>
            </anchor>
          </controlPr>
        </control>
      </mc:Choice>
      <mc:Fallback>
        <control shapeId="9243" r:id="rId28" name="twofivefour"/>
      </mc:Fallback>
    </mc:AlternateContent>
    <mc:AlternateContent xmlns:mc="http://schemas.openxmlformats.org/markup-compatibility/2006">
      <mc:Choice Requires="x14">
        <control shapeId="9252" r:id="rId29" name="twosixone">
          <controlPr defaultSize="0" autoLine="0" r:id="rId9">
            <anchor moveWithCells="1">
              <from>
                <xdr:col>4</xdr:col>
                <xdr:colOff>619125</xdr:colOff>
                <xdr:row>25</xdr:row>
                <xdr:rowOff>57150</xdr:rowOff>
              </from>
              <to>
                <xdr:col>5</xdr:col>
                <xdr:colOff>133350</xdr:colOff>
                <xdr:row>25</xdr:row>
                <xdr:rowOff>257175</xdr:rowOff>
              </to>
            </anchor>
          </controlPr>
        </control>
      </mc:Choice>
      <mc:Fallback>
        <control shapeId="9252" r:id="rId29" name="twosixone"/>
      </mc:Fallback>
    </mc:AlternateContent>
    <mc:AlternateContent xmlns:mc="http://schemas.openxmlformats.org/markup-compatibility/2006">
      <mc:Choice Requires="x14">
        <control shapeId="9253" r:id="rId30" name="twosixtwo">
          <controlPr defaultSize="0" autoLine="0" r:id="rId9">
            <anchor moveWithCells="1">
              <from>
                <xdr:col>4</xdr:col>
                <xdr:colOff>619125</xdr:colOff>
                <xdr:row>26</xdr:row>
                <xdr:rowOff>57150</xdr:rowOff>
              </from>
              <to>
                <xdr:col>5</xdr:col>
                <xdr:colOff>133350</xdr:colOff>
                <xdr:row>26</xdr:row>
                <xdr:rowOff>257175</xdr:rowOff>
              </to>
            </anchor>
          </controlPr>
        </control>
      </mc:Choice>
      <mc:Fallback>
        <control shapeId="9253" r:id="rId30" name="twosixtwo"/>
      </mc:Fallback>
    </mc:AlternateContent>
    <mc:AlternateContent xmlns:mc="http://schemas.openxmlformats.org/markup-compatibility/2006">
      <mc:Choice Requires="x14">
        <control shapeId="9254" r:id="rId31" name="twosixthree">
          <controlPr defaultSize="0" autoLine="0" r:id="rId9">
            <anchor moveWithCells="1">
              <from>
                <xdr:col>4</xdr:col>
                <xdr:colOff>619125</xdr:colOff>
                <xdr:row>27</xdr:row>
                <xdr:rowOff>57150</xdr:rowOff>
              </from>
              <to>
                <xdr:col>5</xdr:col>
                <xdr:colOff>133350</xdr:colOff>
                <xdr:row>27</xdr:row>
                <xdr:rowOff>257175</xdr:rowOff>
              </to>
            </anchor>
          </controlPr>
        </control>
      </mc:Choice>
      <mc:Fallback>
        <control shapeId="9254" r:id="rId31" name="twosixthree"/>
      </mc:Fallback>
    </mc:AlternateContent>
    <mc:AlternateContent xmlns:mc="http://schemas.openxmlformats.org/markup-compatibility/2006">
      <mc:Choice Requires="x14">
        <control shapeId="9255" r:id="rId32" name="twosixfour">
          <controlPr defaultSize="0" autoLine="0" r:id="rId9">
            <anchor moveWithCells="1">
              <from>
                <xdr:col>4</xdr:col>
                <xdr:colOff>619125</xdr:colOff>
                <xdr:row>28</xdr:row>
                <xdr:rowOff>57150</xdr:rowOff>
              </from>
              <to>
                <xdr:col>5</xdr:col>
                <xdr:colOff>133350</xdr:colOff>
                <xdr:row>28</xdr:row>
                <xdr:rowOff>257175</xdr:rowOff>
              </to>
            </anchor>
          </controlPr>
        </control>
      </mc:Choice>
      <mc:Fallback>
        <control shapeId="9255" r:id="rId32" name="twosixfour"/>
      </mc:Fallback>
    </mc:AlternateContent>
    <mc:AlternateContent xmlns:mc="http://schemas.openxmlformats.org/markup-compatibility/2006">
      <mc:Choice Requires="x14">
        <control shapeId="9256" r:id="rId33" name="twosevenone">
          <controlPr defaultSize="0" autoLine="0" r:id="rId9">
            <anchor moveWithCells="1">
              <from>
                <xdr:col>4</xdr:col>
                <xdr:colOff>619125</xdr:colOff>
                <xdr:row>32</xdr:row>
                <xdr:rowOff>57150</xdr:rowOff>
              </from>
              <to>
                <xdr:col>5</xdr:col>
                <xdr:colOff>133350</xdr:colOff>
                <xdr:row>32</xdr:row>
                <xdr:rowOff>257175</xdr:rowOff>
              </to>
            </anchor>
          </controlPr>
        </control>
      </mc:Choice>
      <mc:Fallback>
        <control shapeId="9256" r:id="rId33" name="twosevenone"/>
      </mc:Fallback>
    </mc:AlternateContent>
    <mc:AlternateContent xmlns:mc="http://schemas.openxmlformats.org/markup-compatibility/2006">
      <mc:Choice Requires="x14">
        <control shapeId="9257" r:id="rId34" name="twoseventwo">
          <controlPr defaultSize="0" autoLine="0" r:id="rId9">
            <anchor moveWithCells="1">
              <from>
                <xdr:col>4</xdr:col>
                <xdr:colOff>619125</xdr:colOff>
                <xdr:row>33</xdr:row>
                <xdr:rowOff>57150</xdr:rowOff>
              </from>
              <to>
                <xdr:col>5</xdr:col>
                <xdr:colOff>133350</xdr:colOff>
                <xdr:row>33</xdr:row>
                <xdr:rowOff>257175</xdr:rowOff>
              </to>
            </anchor>
          </controlPr>
        </control>
      </mc:Choice>
      <mc:Fallback>
        <control shapeId="9257" r:id="rId34" name="twoseventwo"/>
      </mc:Fallback>
    </mc:AlternateContent>
    <mc:AlternateContent xmlns:mc="http://schemas.openxmlformats.org/markup-compatibility/2006">
      <mc:Choice Requires="x14">
        <control shapeId="9258" r:id="rId35" name="twoseventhree">
          <controlPr defaultSize="0" autoLine="0" r:id="rId9">
            <anchor moveWithCells="1">
              <from>
                <xdr:col>4</xdr:col>
                <xdr:colOff>619125</xdr:colOff>
                <xdr:row>34</xdr:row>
                <xdr:rowOff>57150</xdr:rowOff>
              </from>
              <to>
                <xdr:col>5</xdr:col>
                <xdr:colOff>133350</xdr:colOff>
                <xdr:row>34</xdr:row>
                <xdr:rowOff>257175</xdr:rowOff>
              </to>
            </anchor>
          </controlPr>
        </control>
      </mc:Choice>
      <mc:Fallback>
        <control shapeId="9258" r:id="rId35" name="twoseventhree"/>
      </mc:Fallback>
    </mc:AlternateContent>
    <mc:AlternateContent xmlns:mc="http://schemas.openxmlformats.org/markup-compatibility/2006">
      <mc:Choice Requires="x14">
        <control shapeId="9259" r:id="rId36" name="twosevenfour">
          <controlPr defaultSize="0" autoLine="0" r:id="rId9">
            <anchor moveWithCells="1">
              <from>
                <xdr:col>4</xdr:col>
                <xdr:colOff>619125</xdr:colOff>
                <xdr:row>35</xdr:row>
                <xdr:rowOff>57150</xdr:rowOff>
              </from>
              <to>
                <xdr:col>5</xdr:col>
                <xdr:colOff>133350</xdr:colOff>
                <xdr:row>35</xdr:row>
                <xdr:rowOff>257175</xdr:rowOff>
              </to>
            </anchor>
          </controlPr>
        </control>
      </mc:Choice>
      <mc:Fallback>
        <control shapeId="9259" r:id="rId36" name="twosevenfour"/>
      </mc:Fallback>
    </mc:AlternateContent>
    <mc:AlternateContent xmlns:mc="http://schemas.openxmlformats.org/markup-compatibility/2006">
      <mc:Choice Requires="x14">
        <control shapeId="9260" r:id="rId37" name="twoeightone">
          <controlPr defaultSize="0" autoLine="0" r:id="rId9">
            <anchor moveWithCells="1">
              <from>
                <xdr:col>4</xdr:col>
                <xdr:colOff>619125</xdr:colOff>
                <xdr:row>39</xdr:row>
                <xdr:rowOff>57150</xdr:rowOff>
              </from>
              <to>
                <xdr:col>5</xdr:col>
                <xdr:colOff>133350</xdr:colOff>
                <xdr:row>39</xdr:row>
                <xdr:rowOff>257175</xdr:rowOff>
              </to>
            </anchor>
          </controlPr>
        </control>
      </mc:Choice>
      <mc:Fallback>
        <control shapeId="9260" r:id="rId37" name="twoeightone"/>
      </mc:Fallback>
    </mc:AlternateContent>
    <mc:AlternateContent xmlns:mc="http://schemas.openxmlformats.org/markup-compatibility/2006">
      <mc:Choice Requires="x14">
        <control shapeId="9261" r:id="rId38" name="twoeighttwo">
          <controlPr defaultSize="0" autoLine="0" r:id="rId9">
            <anchor moveWithCells="1">
              <from>
                <xdr:col>4</xdr:col>
                <xdr:colOff>619125</xdr:colOff>
                <xdr:row>40</xdr:row>
                <xdr:rowOff>57150</xdr:rowOff>
              </from>
              <to>
                <xdr:col>5</xdr:col>
                <xdr:colOff>133350</xdr:colOff>
                <xdr:row>40</xdr:row>
                <xdr:rowOff>257175</xdr:rowOff>
              </to>
            </anchor>
          </controlPr>
        </control>
      </mc:Choice>
      <mc:Fallback>
        <control shapeId="9261" r:id="rId38" name="twoeighttwo"/>
      </mc:Fallback>
    </mc:AlternateContent>
    <mc:AlternateContent xmlns:mc="http://schemas.openxmlformats.org/markup-compatibility/2006">
      <mc:Choice Requires="x14">
        <control shapeId="9262" r:id="rId39" name="twoeightthree">
          <controlPr defaultSize="0" autoLine="0" r:id="rId9">
            <anchor moveWithCells="1">
              <from>
                <xdr:col>4</xdr:col>
                <xdr:colOff>619125</xdr:colOff>
                <xdr:row>41</xdr:row>
                <xdr:rowOff>57150</xdr:rowOff>
              </from>
              <to>
                <xdr:col>5</xdr:col>
                <xdr:colOff>133350</xdr:colOff>
                <xdr:row>41</xdr:row>
                <xdr:rowOff>257175</xdr:rowOff>
              </to>
            </anchor>
          </controlPr>
        </control>
      </mc:Choice>
      <mc:Fallback>
        <control shapeId="9262" r:id="rId39" name="twoeightthree"/>
      </mc:Fallback>
    </mc:AlternateContent>
    <mc:AlternateContent xmlns:mc="http://schemas.openxmlformats.org/markup-compatibility/2006">
      <mc:Choice Requires="x14">
        <control shapeId="9263" r:id="rId40" name="twoeightfour">
          <controlPr defaultSize="0" autoLine="0" r:id="rId9">
            <anchor moveWithCells="1">
              <from>
                <xdr:col>4</xdr:col>
                <xdr:colOff>619125</xdr:colOff>
                <xdr:row>42</xdr:row>
                <xdr:rowOff>57150</xdr:rowOff>
              </from>
              <to>
                <xdr:col>5</xdr:col>
                <xdr:colOff>133350</xdr:colOff>
                <xdr:row>42</xdr:row>
                <xdr:rowOff>257175</xdr:rowOff>
              </to>
            </anchor>
          </controlPr>
        </control>
      </mc:Choice>
      <mc:Fallback>
        <control shapeId="9263" r:id="rId40" name="twoeightfour"/>
      </mc:Fallback>
    </mc:AlternateContent>
    <mc:AlternateContent xmlns:mc="http://schemas.openxmlformats.org/markup-compatibility/2006">
      <mc:Choice Requires="x14">
        <control shapeId="9264" r:id="rId41" name="twonineone">
          <controlPr defaultSize="0" autoLine="0" r:id="rId9">
            <anchor moveWithCells="1">
              <from>
                <xdr:col>4</xdr:col>
                <xdr:colOff>619125</xdr:colOff>
                <xdr:row>46</xdr:row>
                <xdr:rowOff>57150</xdr:rowOff>
              </from>
              <to>
                <xdr:col>5</xdr:col>
                <xdr:colOff>133350</xdr:colOff>
                <xdr:row>46</xdr:row>
                <xdr:rowOff>257175</xdr:rowOff>
              </to>
            </anchor>
          </controlPr>
        </control>
      </mc:Choice>
      <mc:Fallback>
        <control shapeId="9264" r:id="rId41" name="twonineone"/>
      </mc:Fallback>
    </mc:AlternateContent>
    <mc:AlternateContent xmlns:mc="http://schemas.openxmlformats.org/markup-compatibility/2006">
      <mc:Choice Requires="x14">
        <control shapeId="9265" r:id="rId42" name="twoninetwo">
          <controlPr defaultSize="0" autoLine="0" r:id="rId9">
            <anchor moveWithCells="1">
              <from>
                <xdr:col>4</xdr:col>
                <xdr:colOff>619125</xdr:colOff>
                <xdr:row>47</xdr:row>
                <xdr:rowOff>57150</xdr:rowOff>
              </from>
              <to>
                <xdr:col>5</xdr:col>
                <xdr:colOff>133350</xdr:colOff>
                <xdr:row>47</xdr:row>
                <xdr:rowOff>257175</xdr:rowOff>
              </to>
            </anchor>
          </controlPr>
        </control>
      </mc:Choice>
      <mc:Fallback>
        <control shapeId="9265" r:id="rId42" name="twoninetwo"/>
      </mc:Fallback>
    </mc:AlternateContent>
    <mc:AlternateContent xmlns:mc="http://schemas.openxmlformats.org/markup-compatibility/2006">
      <mc:Choice Requires="x14">
        <control shapeId="9266" r:id="rId43" name="twoninethree">
          <controlPr defaultSize="0" autoLine="0" r:id="rId9">
            <anchor moveWithCells="1">
              <from>
                <xdr:col>4</xdr:col>
                <xdr:colOff>619125</xdr:colOff>
                <xdr:row>48</xdr:row>
                <xdr:rowOff>57150</xdr:rowOff>
              </from>
              <to>
                <xdr:col>5</xdr:col>
                <xdr:colOff>133350</xdr:colOff>
                <xdr:row>48</xdr:row>
                <xdr:rowOff>257175</xdr:rowOff>
              </to>
            </anchor>
          </controlPr>
        </control>
      </mc:Choice>
      <mc:Fallback>
        <control shapeId="9266" r:id="rId43" name="twoninethree"/>
      </mc:Fallback>
    </mc:AlternateContent>
    <mc:AlternateContent xmlns:mc="http://schemas.openxmlformats.org/markup-compatibility/2006">
      <mc:Choice Requires="x14">
        <control shapeId="9267" r:id="rId44" name="twoninefour">
          <controlPr defaultSize="0" autoLine="0" r:id="rId9">
            <anchor moveWithCells="1">
              <from>
                <xdr:col>4</xdr:col>
                <xdr:colOff>619125</xdr:colOff>
                <xdr:row>49</xdr:row>
                <xdr:rowOff>57150</xdr:rowOff>
              </from>
              <to>
                <xdr:col>5</xdr:col>
                <xdr:colOff>133350</xdr:colOff>
                <xdr:row>49</xdr:row>
                <xdr:rowOff>257175</xdr:rowOff>
              </to>
            </anchor>
          </controlPr>
        </control>
      </mc:Choice>
      <mc:Fallback>
        <control shapeId="9267" r:id="rId44" name="twoninefour"/>
      </mc:Fallback>
    </mc:AlternateContent>
    <mc:AlternateContent xmlns:mc="http://schemas.openxmlformats.org/markup-compatibility/2006">
      <mc:Choice Requires="x14">
        <control shapeId="9268" r:id="rId45" name="twotenone">
          <controlPr defaultSize="0" autoLine="0" r:id="rId9">
            <anchor moveWithCells="1">
              <from>
                <xdr:col>4</xdr:col>
                <xdr:colOff>619125</xdr:colOff>
                <xdr:row>53</xdr:row>
                <xdr:rowOff>57150</xdr:rowOff>
              </from>
              <to>
                <xdr:col>5</xdr:col>
                <xdr:colOff>133350</xdr:colOff>
                <xdr:row>53</xdr:row>
                <xdr:rowOff>257175</xdr:rowOff>
              </to>
            </anchor>
          </controlPr>
        </control>
      </mc:Choice>
      <mc:Fallback>
        <control shapeId="9268" r:id="rId45" name="twotenone"/>
      </mc:Fallback>
    </mc:AlternateContent>
    <mc:AlternateContent xmlns:mc="http://schemas.openxmlformats.org/markup-compatibility/2006">
      <mc:Choice Requires="x14">
        <control shapeId="9269" r:id="rId46" name="twotentwo">
          <controlPr defaultSize="0" autoLine="0" r:id="rId9">
            <anchor moveWithCells="1">
              <from>
                <xdr:col>4</xdr:col>
                <xdr:colOff>619125</xdr:colOff>
                <xdr:row>54</xdr:row>
                <xdr:rowOff>57150</xdr:rowOff>
              </from>
              <to>
                <xdr:col>5</xdr:col>
                <xdr:colOff>133350</xdr:colOff>
                <xdr:row>54</xdr:row>
                <xdr:rowOff>257175</xdr:rowOff>
              </to>
            </anchor>
          </controlPr>
        </control>
      </mc:Choice>
      <mc:Fallback>
        <control shapeId="9269" r:id="rId46" name="twotentwo"/>
      </mc:Fallback>
    </mc:AlternateContent>
    <mc:AlternateContent xmlns:mc="http://schemas.openxmlformats.org/markup-compatibility/2006">
      <mc:Choice Requires="x14">
        <control shapeId="9270" r:id="rId47" name="twotenthree">
          <controlPr defaultSize="0" autoLine="0" r:id="rId9">
            <anchor moveWithCells="1">
              <from>
                <xdr:col>4</xdr:col>
                <xdr:colOff>619125</xdr:colOff>
                <xdr:row>55</xdr:row>
                <xdr:rowOff>57150</xdr:rowOff>
              </from>
              <to>
                <xdr:col>5</xdr:col>
                <xdr:colOff>133350</xdr:colOff>
                <xdr:row>55</xdr:row>
                <xdr:rowOff>257175</xdr:rowOff>
              </to>
            </anchor>
          </controlPr>
        </control>
      </mc:Choice>
      <mc:Fallback>
        <control shapeId="9270" r:id="rId47" name="twotenthree"/>
      </mc:Fallback>
    </mc:AlternateContent>
    <mc:AlternateContent xmlns:mc="http://schemas.openxmlformats.org/markup-compatibility/2006">
      <mc:Choice Requires="x14">
        <control shapeId="9271" r:id="rId48" name="twotenfour">
          <controlPr defaultSize="0" autoLine="0" r:id="rId9">
            <anchor moveWithCells="1">
              <from>
                <xdr:col>4</xdr:col>
                <xdr:colOff>619125</xdr:colOff>
                <xdr:row>56</xdr:row>
                <xdr:rowOff>57150</xdr:rowOff>
              </from>
              <to>
                <xdr:col>5</xdr:col>
                <xdr:colOff>133350</xdr:colOff>
                <xdr:row>56</xdr:row>
                <xdr:rowOff>257175</xdr:rowOff>
              </to>
            </anchor>
          </controlPr>
        </control>
      </mc:Choice>
      <mc:Fallback>
        <control shapeId="9271" r:id="rId48" name="twotenfou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gethree">
    <tabColor rgb="FF65676A"/>
    <pageSetUpPr fitToPage="1"/>
  </sheetPr>
  <dimension ref="B2:F34"/>
  <sheetViews>
    <sheetView topLeftCell="A22" workbookViewId="0">
      <selection activeCell="F6" sqref="F6"/>
    </sheetView>
  </sheetViews>
  <sheetFormatPr defaultRowHeight="22.5" customHeight="1" x14ac:dyDescent="0.2"/>
  <cols>
    <col min="1" max="1" width="9" style="1"/>
    <col min="2" max="2" width="52.75" style="12" bestFit="1" customWidth="1"/>
    <col min="3" max="6" width="9.625" style="1" customWidth="1"/>
    <col min="7" max="16384" width="9" style="1"/>
  </cols>
  <sheetData>
    <row r="2" spans="2:6" ht="22.5" customHeight="1" x14ac:dyDescent="0.2">
      <c r="B2" s="83" t="s">
        <v>118</v>
      </c>
      <c r="C2" s="90"/>
      <c r="D2" s="90"/>
      <c r="E2" s="90"/>
      <c r="F2" s="84"/>
    </row>
    <row r="4" spans="2:6" ht="14.25" customHeight="1" x14ac:dyDescent="0.2">
      <c r="B4" s="91" t="s">
        <v>121</v>
      </c>
      <c r="C4" s="100"/>
      <c r="D4" s="100"/>
      <c r="E4" s="100"/>
      <c r="F4" s="101"/>
    </row>
    <row r="5" spans="2:6" ht="22.5" customHeight="1" x14ac:dyDescent="0.2">
      <c r="B5" s="108" t="s">
        <v>122</v>
      </c>
      <c r="C5" s="109"/>
      <c r="D5" s="109"/>
      <c r="E5" s="110"/>
      <c r="F5" s="26" t="s">
        <v>120</v>
      </c>
    </row>
    <row r="6" spans="2:6" ht="22.5" customHeight="1" x14ac:dyDescent="0.2">
      <c r="B6" s="105" t="s">
        <v>123</v>
      </c>
      <c r="C6" s="106"/>
      <c r="D6" s="106"/>
      <c r="E6" s="107"/>
      <c r="F6" s="55"/>
    </row>
    <row r="7" spans="2:6" ht="22.5" customHeight="1" x14ac:dyDescent="0.2">
      <c r="B7" s="105" t="s">
        <v>124</v>
      </c>
      <c r="C7" s="106"/>
      <c r="D7" s="106"/>
      <c r="E7" s="107"/>
      <c r="F7" s="55"/>
    </row>
    <row r="8" spans="2:6" ht="22.5" customHeight="1" x14ac:dyDescent="0.2">
      <c r="B8" s="105" t="s">
        <v>125</v>
      </c>
      <c r="C8" s="106"/>
      <c r="D8" s="106"/>
      <c r="E8" s="107"/>
      <c r="F8" s="55"/>
    </row>
    <row r="9" spans="2:6" ht="22.5" customHeight="1" x14ac:dyDescent="0.2">
      <c r="B9" s="105" t="s">
        <v>126</v>
      </c>
      <c r="C9" s="106"/>
      <c r="D9" s="106"/>
      <c r="E9" s="107"/>
      <c r="F9" s="55"/>
    </row>
    <row r="10" spans="2:6" ht="22.5" customHeight="1" x14ac:dyDescent="0.2">
      <c r="B10" s="105" t="s">
        <v>127</v>
      </c>
      <c r="C10" s="106"/>
      <c r="D10" s="106"/>
      <c r="E10" s="107"/>
      <c r="F10" s="55"/>
    </row>
    <row r="11" spans="2:6" ht="22.5" customHeight="1" x14ac:dyDescent="0.2">
      <c r="B11" s="105" t="s">
        <v>128</v>
      </c>
      <c r="C11" s="106"/>
      <c r="D11" s="106"/>
      <c r="E11" s="107"/>
      <c r="F11" s="55"/>
    </row>
    <row r="12" spans="2:6" ht="22.5" customHeight="1" x14ac:dyDescent="0.2">
      <c r="B12" s="105" t="s">
        <v>130</v>
      </c>
      <c r="C12" s="106"/>
      <c r="D12" s="106"/>
      <c r="E12" s="107"/>
      <c r="F12" s="55"/>
    </row>
    <row r="13" spans="2:6" ht="22.5" customHeight="1" x14ac:dyDescent="0.2">
      <c r="B13" s="105" t="s">
        <v>129</v>
      </c>
      <c r="C13" s="106"/>
      <c r="D13" s="106"/>
      <c r="E13" s="107"/>
      <c r="F13" s="55"/>
    </row>
    <row r="14" spans="2:6" ht="22.5" customHeight="1" x14ac:dyDescent="0.2">
      <c r="B14" s="105" t="s">
        <v>131</v>
      </c>
      <c r="C14" s="106"/>
      <c r="D14" s="106"/>
      <c r="E14" s="107"/>
      <c r="F14" s="55"/>
    </row>
    <row r="15" spans="2:6" ht="22.5" customHeight="1" x14ac:dyDescent="0.2">
      <c r="B15" s="105" t="s">
        <v>132</v>
      </c>
      <c r="C15" s="106"/>
      <c r="D15" s="106"/>
      <c r="E15" s="107"/>
      <c r="F15" s="55"/>
    </row>
    <row r="17" spans="2:6" ht="30.75" customHeight="1" x14ac:dyDescent="0.2">
      <c r="B17" s="91" t="s">
        <v>142</v>
      </c>
      <c r="C17" s="100"/>
      <c r="D17" s="100"/>
      <c r="E17" s="100"/>
      <c r="F17" s="101"/>
    </row>
    <row r="18" spans="2:6" ht="28.5" customHeight="1" x14ac:dyDescent="0.2">
      <c r="B18" s="15"/>
      <c r="C18" s="27" t="s">
        <v>141</v>
      </c>
      <c r="D18" s="27" t="s">
        <v>140</v>
      </c>
      <c r="E18" s="27" t="s">
        <v>133</v>
      </c>
      <c r="F18" s="27" t="s">
        <v>134</v>
      </c>
    </row>
    <row r="19" spans="2:6" ht="30" customHeight="1" x14ac:dyDescent="0.2">
      <c r="B19" s="23" t="s">
        <v>135</v>
      </c>
      <c r="C19" s="14"/>
      <c r="D19" s="14"/>
      <c r="E19" s="14"/>
      <c r="F19" s="14"/>
    </row>
    <row r="20" spans="2:6" ht="30" customHeight="1" x14ac:dyDescent="0.2">
      <c r="B20" s="23" t="s">
        <v>136</v>
      </c>
      <c r="C20" s="14"/>
      <c r="D20" s="14"/>
      <c r="E20" s="14"/>
      <c r="F20" s="14"/>
    </row>
    <row r="21" spans="2:6" ht="30" customHeight="1" x14ac:dyDescent="0.2">
      <c r="B21" s="23" t="s">
        <v>157</v>
      </c>
      <c r="C21" s="14"/>
      <c r="D21" s="14"/>
      <c r="E21" s="14"/>
      <c r="F21" s="14"/>
    </row>
    <row r="22" spans="2:6" ht="30" customHeight="1" x14ac:dyDescent="0.2">
      <c r="B22" s="23" t="s">
        <v>19</v>
      </c>
      <c r="C22" s="14"/>
      <c r="D22" s="14"/>
      <c r="E22" s="14"/>
      <c r="F22" s="14"/>
    </row>
    <row r="23" spans="2:6" ht="30" customHeight="1" x14ac:dyDescent="0.2">
      <c r="B23" s="23" t="s">
        <v>137</v>
      </c>
      <c r="C23" s="14"/>
      <c r="D23" s="14"/>
      <c r="E23" s="14"/>
      <c r="F23" s="14"/>
    </row>
    <row r="24" spans="2:6" ht="30" customHeight="1" x14ac:dyDescent="0.2">
      <c r="B24" s="23" t="s">
        <v>138</v>
      </c>
      <c r="C24" s="14"/>
      <c r="D24" s="14"/>
      <c r="E24" s="14"/>
      <c r="F24" s="14"/>
    </row>
    <row r="25" spans="2:6" ht="30" customHeight="1" x14ac:dyDescent="0.2">
      <c r="B25" s="23" t="s">
        <v>20</v>
      </c>
      <c r="C25" s="14"/>
      <c r="D25" s="14"/>
      <c r="E25" s="14"/>
      <c r="F25" s="14"/>
    </row>
    <row r="26" spans="2:6" ht="30" customHeight="1" x14ac:dyDescent="0.2">
      <c r="B26" s="23" t="s">
        <v>139</v>
      </c>
      <c r="C26" s="14"/>
      <c r="D26" s="14"/>
      <c r="E26" s="14"/>
      <c r="F26" s="14"/>
    </row>
    <row r="27" spans="2:6" ht="30" customHeight="1" x14ac:dyDescent="0.2">
      <c r="B27" s="23" t="s">
        <v>186</v>
      </c>
      <c r="C27" s="14"/>
      <c r="D27" s="14"/>
      <c r="E27" s="14"/>
      <c r="F27" s="14"/>
    </row>
    <row r="29" spans="2:6" ht="14.25" x14ac:dyDescent="0.2">
      <c r="B29" s="102"/>
      <c r="C29" s="103"/>
      <c r="D29" s="103"/>
      <c r="E29" s="103"/>
      <c r="F29" s="103"/>
    </row>
    <row r="30" spans="2:6" ht="22.5" customHeight="1" x14ac:dyDescent="0.2">
      <c r="B30" s="28"/>
      <c r="C30" s="25"/>
      <c r="D30" s="25"/>
      <c r="E30" s="104"/>
      <c r="F30" s="104"/>
    </row>
    <row r="31" spans="2:6" ht="22.5" customHeight="1" x14ac:dyDescent="0.2">
      <c r="B31" s="98"/>
      <c r="C31" s="98"/>
      <c r="D31" s="98"/>
      <c r="E31" s="99"/>
      <c r="F31" s="99"/>
    </row>
    <row r="32" spans="2:6" ht="22.5" customHeight="1" x14ac:dyDescent="0.2">
      <c r="B32" s="98"/>
      <c r="C32" s="98"/>
      <c r="D32" s="98"/>
      <c r="E32" s="99"/>
      <c r="F32" s="99"/>
    </row>
    <row r="33" spans="2:6" ht="22.5" customHeight="1" x14ac:dyDescent="0.2">
      <c r="B33" s="98"/>
      <c r="C33" s="98"/>
      <c r="D33" s="98"/>
      <c r="E33" s="99"/>
      <c r="F33" s="99"/>
    </row>
    <row r="34" spans="2:6" ht="22.5" customHeight="1" x14ac:dyDescent="0.2">
      <c r="B34" s="98"/>
      <c r="C34" s="98"/>
      <c r="D34" s="98"/>
      <c r="E34" s="99"/>
      <c r="F34" s="99"/>
    </row>
  </sheetData>
  <sheetProtection selectLockedCells="1"/>
  <mergeCells count="24">
    <mergeCell ref="B15:E15"/>
    <mergeCell ref="B2:F2"/>
    <mergeCell ref="B4:F4"/>
    <mergeCell ref="B5:E5"/>
    <mergeCell ref="B6:E6"/>
    <mergeCell ref="B7:E7"/>
    <mergeCell ref="B8:E8"/>
    <mergeCell ref="B9:E9"/>
    <mergeCell ref="B10:E10"/>
    <mergeCell ref="B11:E11"/>
    <mergeCell ref="B12:E12"/>
    <mergeCell ref="B13:E13"/>
    <mergeCell ref="B14:E14"/>
    <mergeCell ref="B17:F17"/>
    <mergeCell ref="B29:F29"/>
    <mergeCell ref="E30:F30"/>
    <mergeCell ref="B31:D31"/>
    <mergeCell ref="E31:F31"/>
    <mergeCell ref="B32:D32"/>
    <mergeCell ref="E32:F32"/>
    <mergeCell ref="B33:D33"/>
    <mergeCell ref="E33:F33"/>
    <mergeCell ref="B34:D34"/>
    <mergeCell ref="E34:F34"/>
  </mergeCells>
  <dataValidations count="2">
    <dataValidation type="whole" allowBlank="1" showInputMessage="1" showErrorMessage="1" sqref="C19:C28 C32:C34">
      <formula1>0</formula1>
      <formula2>100</formula2>
    </dataValidation>
    <dataValidation type="list" allowBlank="1" showInputMessage="1" showErrorMessage="1" sqref="F6:F15">
      <formula1>ScaleRate</formula1>
    </dataValidation>
  </dataValidations>
  <pageMargins left="0.7" right="0.7" top="0.75" bottom="0.75" header="0.3" footer="0.3"/>
  <pageSetup paperSize="9" scale="73" orientation="portrait" r:id="rId1"/>
  <drawing r:id="rId2"/>
  <legacyDrawing r:id="rId3"/>
  <controls>
    <mc:AlternateContent xmlns:mc="http://schemas.openxmlformats.org/markup-compatibility/2006">
      <mc:Choice Requires="x14">
        <control shapeId="10300" r:id="rId4" name="BackButtonThree">
          <controlPr defaultSize="0" autoLine="0" r:id="rId5">
            <anchor moveWithCells="1">
              <from>
                <xdr:col>1</xdr:col>
                <xdr:colOff>1895475</xdr:colOff>
                <xdr:row>34</xdr:row>
                <xdr:rowOff>152400</xdr:rowOff>
              </from>
              <to>
                <xdr:col>1</xdr:col>
                <xdr:colOff>3619500</xdr:colOff>
                <xdr:row>35</xdr:row>
                <xdr:rowOff>200025</xdr:rowOff>
              </to>
            </anchor>
          </controlPr>
        </control>
      </mc:Choice>
      <mc:Fallback>
        <control shapeId="10300" r:id="rId4" name="BackButtonThree"/>
      </mc:Fallback>
    </mc:AlternateContent>
    <mc:AlternateContent xmlns:mc="http://schemas.openxmlformats.org/markup-compatibility/2006">
      <mc:Choice Requires="x14">
        <control shapeId="10299" r:id="rId6" name="threefivefour">
          <controlPr defaultSize="0" autoLine="0" r:id="rId7">
            <anchor moveWithCells="1">
              <from>
                <xdr:col>5</xdr:col>
                <xdr:colOff>276225</xdr:colOff>
                <xdr:row>22</xdr:row>
                <xdr:rowOff>123825</xdr:rowOff>
              </from>
              <to>
                <xdr:col>5</xdr:col>
                <xdr:colOff>523875</xdr:colOff>
                <xdr:row>22</xdr:row>
                <xdr:rowOff>323850</xdr:rowOff>
              </to>
            </anchor>
          </controlPr>
        </control>
      </mc:Choice>
      <mc:Fallback>
        <control shapeId="10299" r:id="rId6" name="threefivefour"/>
      </mc:Fallback>
    </mc:AlternateContent>
    <mc:AlternateContent xmlns:mc="http://schemas.openxmlformats.org/markup-compatibility/2006">
      <mc:Choice Requires="x14">
        <control shapeId="10298" r:id="rId8" name="threefivethree">
          <controlPr defaultSize="0" autoLine="0" r:id="rId7">
            <anchor moveWithCells="1">
              <from>
                <xdr:col>4</xdr:col>
                <xdr:colOff>276225</xdr:colOff>
                <xdr:row>22</xdr:row>
                <xdr:rowOff>123825</xdr:rowOff>
              </from>
              <to>
                <xdr:col>4</xdr:col>
                <xdr:colOff>523875</xdr:colOff>
                <xdr:row>22</xdr:row>
                <xdr:rowOff>323850</xdr:rowOff>
              </to>
            </anchor>
          </controlPr>
        </control>
      </mc:Choice>
      <mc:Fallback>
        <control shapeId="10298" r:id="rId8" name="threefivethree"/>
      </mc:Fallback>
    </mc:AlternateContent>
    <mc:AlternateContent xmlns:mc="http://schemas.openxmlformats.org/markup-compatibility/2006">
      <mc:Choice Requires="x14">
        <control shapeId="10297" r:id="rId9" name="threefivetwo">
          <controlPr defaultSize="0" autoLine="0" r:id="rId7">
            <anchor moveWithCells="1">
              <from>
                <xdr:col>3</xdr:col>
                <xdr:colOff>276225</xdr:colOff>
                <xdr:row>22</xdr:row>
                <xdr:rowOff>123825</xdr:rowOff>
              </from>
              <to>
                <xdr:col>3</xdr:col>
                <xdr:colOff>523875</xdr:colOff>
                <xdr:row>22</xdr:row>
                <xdr:rowOff>323850</xdr:rowOff>
              </to>
            </anchor>
          </controlPr>
        </control>
      </mc:Choice>
      <mc:Fallback>
        <control shapeId="10297" r:id="rId9" name="threefivetwo"/>
      </mc:Fallback>
    </mc:AlternateContent>
    <mc:AlternateContent xmlns:mc="http://schemas.openxmlformats.org/markup-compatibility/2006">
      <mc:Choice Requires="x14">
        <control shapeId="10296" r:id="rId10" name="threefiveone">
          <controlPr defaultSize="0" autoLine="0" r:id="rId7">
            <anchor moveWithCells="1">
              <from>
                <xdr:col>2</xdr:col>
                <xdr:colOff>276225</xdr:colOff>
                <xdr:row>22</xdr:row>
                <xdr:rowOff>123825</xdr:rowOff>
              </from>
              <to>
                <xdr:col>2</xdr:col>
                <xdr:colOff>523875</xdr:colOff>
                <xdr:row>22</xdr:row>
                <xdr:rowOff>323850</xdr:rowOff>
              </to>
            </anchor>
          </controlPr>
        </control>
      </mc:Choice>
      <mc:Fallback>
        <control shapeId="10296" r:id="rId10" name="threefiveone"/>
      </mc:Fallback>
    </mc:AlternateContent>
    <mc:AlternateContent xmlns:mc="http://schemas.openxmlformats.org/markup-compatibility/2006">
      <mc:Choice Requires="x14">
        <control shapeId="10295" r:id="rId11" name="threefourfour">
          <controlPr defaultSize="0" autoLine="0" r:id="rId7">
            <anchor moveWithCells="1">
              <from>
                <xdr:col>5</xdr:col>
                <xdr:colOff>276225</xdr:colOff>
                <xdr:row>21</xdr:row>
                <xdr:rowOff>123825</xdr:rowOff>
              </from>
              <to>
                <xdr:col>5</xdr:col>
                <xdr:colOff>523875</xdr:colOff>
                <xdr:row>21</xdr:row>
                <xdr:rowOff>323850</xdr:rowOff>
              </to>
            </anchor>
          </controlPr>
        </control>
      </mc:Choice>
      <mc:Fallback>
        <control shapeId="10295" r:id="rId11" name="threefourfour"/>
      </mc:Fallback>
    </mc:AlternateContent>
    <mc:AlternateContent xmlns:mc="http://schemas.openxmlformats.org/markup-compatibility/2006">
      <mc:Choice Requires="x14">
        <control shapeId="10294" r:id="rId12" name="threefourthree">
          <controlPr defaultSize="0" autoLine="0" r:id="rId7">
            <anchor moveWithCells="1">
              <from>
                <xdr:col>4</xdr:col>
                <xdr:colOff>276225</xdr:colOff>
                <xdr:row>21</xdr:row>
                <xdr:rowOff>123825</xdr:rowOff>
              </from>
              <to>
                <xdr:col>4</xdr:col>
                <xdr:colOff>523875</xdr:colOff>
                <xdr:row>21</xdr:row>
                <xdr:rowOff>323850</xdr:rowOff>
              </to>
            </anchor>
          </controlPr>
        </control>
      </mc:Choice>
      <mc:Fallback>
        <control shapeId="10294" r:id="rId12" name="threefourthree"/>
      </mc:Fallback>
    </mc:AlternateContent>
    <mc:AlternateContent xmlns:mc="http://schemas.openxmlformats.org/markup-compatibility/2006">
      <mc:Choice Requires="x14">
        <control shapeId="10293" r:id="rId13" name="threefourtwo">
          <controlPr defaultSize="0" autoLine="0" r:id="rId7">
            <anchor moveWithCells="1">
              <from>
                <xdr:col>3</xdr:col>
                <xdr:colOff>276225</xdr:colOff>
                <xdr:row>21</xdr:row>
                <xdr:rowOff>123825</xdr:rowOff>
              </from>
              <to>
                <xdr:col>3</xdr:col>
                <xdr:colOff>523875</xdr:colOff>
                <xdr:row>21</xdr:row>
                <xdr:rowOff>323850</xdr:rowOff>
              </to>
            </anchor>
          </controlPr>
        </control>
      </mc:Choice>
      <mc:Fallback>
        <control shapeId="10293" r:id="rId13" name="threefourtwo"/>
      </mc:Fallback>
    </mc:AlternateContent>
    <mc:AlternateContent xmlns:mc="http://schemas.openxmlformats.org/markup-compatibility/2006">
      <mc:Choice Requires="x14">
        <control shapeId="10292" r:id="rId14" name="threefourone">
          <controlPr defaultSize="0" autoLine="0" r:id="rId7">
            <anchor moveWithCells="1">
              <from>
                <xdr:col>2</xdr:col>
                <xdr:colOff>276225</xdr:colOff>
                <xdr:row>21</xdr:row>
                <xdr:rowOff>123825</xdr:rowOff>
              </from>
              <to>
                <xdr:col>2</xdr:col>
                <xdr:colOff>523875</xdr:colOff>
                <xdr:row>21</xdr:row>
                <xdr:rowOff>323850</xdr:rowOff>
              </to>
            </anchor>
          </controlPr>
        </control>
      </mc:Choice>
      <mc:Fallback>
        <control shapeId="10292" r:id="rId14" name="threefourone"/>
      </mc:Fallback>
    </mc:AlternateContent>
    <mc:AlternateContent xmlns:mc="http://schemas.openxmlformats.org/markup-compatibility/2006">
      <mc:Choice Requires="x14">
        <control shapeId="10291" r:id="rId15" name="threethreefour">
          <controlPr defaultSize="0" autoLine="0" r:id="rId7">
            <anchor moveWithCells="1">
              <from>
                <xdr:col>5</xdr:col>
                <xdr:colOff>276225</xdr:colOff>
                <xdr:row>20</xdr:row>
                <xdr:rowOff>123825</xdr:rowOff>
              </from>
              <to>
                <xdr:col>5</xdr:col>
                <xdr:colOff>523875</xdr:colOff>
                <xdr:row>20</xdr:row>
                <xdr:rowOff>323850</xdr:rowOff>
              </to>
            </anchor>
          </controlPr>
        </control>
      </mc:Choice>
      <mc:Fallback>
        <control shapeId="10291" r:id="rId15" name="threethreefour"/>
      </mc:Fallback>
    </mc:AlternateContent>
    <mc:AlternateContent xmlns:mc="http://schemas.openxmlformats.org/markup-compatibility/2006">
      <mc:Choice Requires="x14">
        <control shapeId="10290" r:id="rId16" name="threethreethree">
          <controlPr defaultSize="0" autoLine="0" r:id="rId7">
            <anchor moveWithCells="1">
              <from>
                <xdr:col>4</xdr:col>
                <xdr:colOff>276225</xdr:colOff>
                <xdr:row>20</xdr:row>
                <xdr:rowOff>123825</xdr:rowOff>
              </from>
              <to>
                <xdr:col>4</xdr:col>
                <xdr:colOff>523875</xdr:colOff>
                <xdr:row>20</xdr:row>
                <xdr:rowOff>323850</xdr:rowOff>
              </to>
            </anchor>
          </controlPr>
        </control>
      </mc:Choice>
      <mc:Fallback>
        <control shapeId="10290" r:id="rId16" name="threethreethree"/>
      </mc:Fallback>
    </mc:AlternateContent>
    <mc:AlternateContent xmlns:mc="http://schemas.openxmlformats.org/markup-compatibility/2006">
      <mc:Choice Requires="x14">
        <control shapeId="10289" r:id="rId17" name="threethreetwo">
          <controlPr defaultSize="0" autoLine="0" r:id="rId7">
            <anchor moveWithCells="1">
              <from>
                <xdr:col>3</xdr:col>
                <xdr:colOff>276225</xdr:colOff>
                <xdr:row>20</xdr:row>
                <xdr:rowOff>123825</xdr:rowOff>
              </from>
              <to>
                <xdr:col>3</xdr:col>
                <xdr:colOff>523875</xdr:colOff>
                <xdr:row>20</xdr:row>
                <xdr:rowOff>323850</xdr:rowOff>
              </to>
            </anchor>
          </controlPr>
        </control>
      </mc:Choice>
      <mc:Fallback>
        <control shapeId="10289" r:id="rId17" name="threethreetwo"/>
      </mc:Fallback>
    </mc:AlternateContent>
    <mc:AlternateContent xmlns:mc="http://schemas.openxmlformats.org/markup-compatibility/2006">
      <mc:Choice Requires="x14">
        <control shapeId="10288" r:id="rId18" name="threethreeone">
          <controlPr defaultSize="0" autoLine="0" r:id="rId7">
            <anchor moveWithCells="1">
              <from>
                <xdr:col>2</xdr:col>
                <xdr:colOff>276225</xdr:colOff>
                <xdr:row>20</xdr:row>
                <xdr:rowOff>123825</xdr:rowOff>
              </from>
              <to>
                <xdr:col>2</xdr:col>
                <xdr:colOff>523875</xdr:colOff>
                <xdr:row>20</xdr:row>
                <xdr:rowOff>323850</xdr:rowOff>
              </to>
            </anchor>
          </controlPr>
        </control>
      </mc:Choice>
      <mc:Fallback>
        <control shapeId="10288" r:id="rId18" name="threethreeone"/>
      </mc:Fallback>
    </mc:AlternateContent>
    <mc:AlternateContent xmlns:mc="http://schemas.openxmlformats.org/markup-compatibility/2006">
      <mc:Choice Requires="x14">
        <control shapeId="10287" r:id="rId19" name="threetwofour">
          <controlPr defaultSize="0" autoLine="0" r:id="rId7">
            <anchor moveWithCells="1">
              <from>
                <xdr:col>5</xdr:col>
                <xdr:colOff>276225</xdr:colOff>
                <xdr:row>19</xdr:row>
                <xdr:rowOff>123825</xdr:rowOff>
              </from>
              <to>
                <xdr:col>5</xdr:col>
                <xdr:colOff>523875</xdr:colOff>
                <xdr:row>19</xdr:row>
                <xdr:rowOff>323850</xdr:rowOff>
              </to>
            </anchor>
          </controlPr>
        </control>
      </mc:Choice>
      <mc:Fallback>
        <control shapeId="10287" r:id="rId19" name="threetwofour"/>
      </mc:Fallback>
    </mc:AlternateContent>
    <mc:AlternateContent xmlns:mc="http://schemas.openxmlformats.org/markup-compatibility/2006">
      <mc:Choice Requires="x14">
        <control shapeId="10286" r:id="rId20" name="threetwothree">
          <controlPr defaultSize="0" autoLine="0" r:id="rId7">
            <anchor moveWithCells="1">
              <from>
                <xdr:col>4</xdr:col>
                <xdr:colOff>276225</xdr:colOff>
                <xdr:row>19</xdr:row>
                <xdr:rowOff>123825</xdr:rowOff>
              </from>
              <to>
                <xdr:col>4</xdr:col>
                <xdr:colOff>523875</xdr:colOff>
                <xdr:row>19</xdr:row>
                <xdr:rowOff>323850</xdr:rowOff>
              </to>
            </anchor>
          </controlPr>
        </control>
      </mc:Choice>
      <mc:Fallback>
        <control shapeId="10286" r:id="rId20" name="threetwothree"/>
      </mc:Fallback>
    </mc:AlternateContent>
    <mc:AlternateContent xmlns:mc="http://schemas.openxmlformats.org/markup-compatibility/2006">
      <mc:Choice Requires="x14">
        <control shapeId="10285" r:id="rId21" name="threetwotwo">
          <controlPr defaultSize="0" autoLine="0" r:id="rId7">
            <anchor moveWithCells="1">
              <from>
                <xdr:col>3</xdr:col>
                <xdr:colOff>276225</xdr:colOff>
                <xdr:row>19</xdr:row>
                <xdr:rowOff>123825</xdr:rowOff>
              </from>
              <to>
                <xdr:col>3</xdr:col>
                <xdr:colOff>523875</xdr:colOff>
                <xdr:row>19</xdr:row>
                <xdr:rowOff>323850</xdr:rowOff>
              </to>
            </anchor>
          </controlPr>
        </control>
      </mc:Choice>
      <mc:Fallback>
        <control shapeId="10285" r:id="rId21" name="threetwotwo"/>
      </mc:Fallback>
    </mc:AlternateContent>
    <mc:AlternateContent xmlns:mc="http://schemas.openxmlformats.org/markup-compatibility/2006">
      <mc:Choice Requires="x14">
        <control shapeId="10284" r:id="rId22" name="threetwoone">
          <controlPr defaultSize="0" autoLine="0" r:id="rId7">
            <anchor moveWithCells="1">
              <from>
                <xdr:col>2</xdr:col>
                <xdr:colOff>276225</xdr:colOff>
                <xdr:row>19</xdr:row>
                <xdr:rowOff>123825</xdr:rowOff>
              </from>
              <to>
                <xdr:col>2</xdr:col>
                <xdr:colOff>523875</xdr:colOff>
                <xdr:row>19</xdr:row>
                <xdr:rowOff>323850</xdr:rowOff>
              </to>
            </anchor>
          </controlPr>
        </control>
      </mc:Choice>
      <mc:Fallback>
        <control shapeId="10284" r:id="rId22" name="threetwoone"/>
      </mc:Fallback>
    </mc:AlternateContent>
    <mc:AlternateContent xmlns:mc="http://schemas.openxmlformats.org/markup-compatibility/2006">
      <mc:Choice Requires="x14">
        <control shapeId="10241" r:id="rId23" name="ContBut3">
          <controlPr defaultSize="0" autoLine="0" r:id="rId24">
            <anchor moveWithCells="1">
              <from>
                <xdr:col>1</xdr:col>
                <xdr:colOff>3686175</xdr:colOff>
                <xdr:row>34</xdr:row>
                <xdr:rowOff>152400</xdr:rowOff>
              </from>
              <to>
                <xdr:col>3</xdr:col>
                <xdr:colOff>657225</xdr:colOff>
                <xdr:row>35</xdr:row>
                <xdr:rowOff>200025</xdr:rowOff>
              </to>
            </anchor>
          </controlPr>
        </control>
      </mc:Choice>
      <mc:Fallback>
        <control shapeId="10241" r:id="rId23" name="ContBut3"/>
      </mc:Fallback>
    </mc:AlternateContent>
    <mc:AlternateContent xmlns:mc="http://schemas.openxmlformats.org/markup-compatibility/2006">
      <mc:Choice Requires="x14">
        <control shapeId="10242" r:id="rId25" name="threeoneone">
          <controlPr defaultSize="0" autoLine="0" r:id="rId7">
            <anchor moveWithCells="1">
              <from>
                <xdr:col>2</xdr:col>
                <xdr:colOff>276225</xdr:colOff>
                <xdr:row>18</xdr:row>
                <xdr:rowOff>123825</xdr:rowOff>
              </from>
              <to>
                <xdr:col>2</xdr:col>
                <xdr:colOff>523875</xdr:colOff>
                <xdr:row>18</xdr:row>
                <xdr:rowOff>323850</xdr:rowOff>
              </to>
            </anchor>
          </controlPr>
        </control>
      </mc:Choice>
      <mc:Fallback>
        <control shapeId="10242" r:id="rId25" name="threeoneone"/>
      </mc:Fallback>
    </mc:AlternateContent>
    <mc:AlternateContent xmlns:mc="http://schemas.openxmlformats.org/markup-compatibility/2006">
      <mc:Choice Requires="x14">
        <control shapeId="10243" r:id="rId26" name="threeonetwo">
          <controlPr defaultSize="0" autoLine="0" r:id="rId7">
            <anchor moveWithCells="1">
              <from>
                <xdr:col>3</xdr:col>
                <xdr:colOff>276225</xdr:colOff>
                <xdr:row>18</xdr:row>
                <xdr:rowOff>123825</xdr:rowOff>
              </from>
              <to>
                <xdr:col>3</xdr:col>
                <xdr:colOff>523875</xdr:colOff>
                <xdr:row>18</xdr:row>
                <xdr:rowOff>323850</xdr:rowOff>
              </to>
            </anchor>
          </controlPr>
        </control>
      </mc:Choice>
      <mc:Fallback>
        <control shapeId="10243" r:id="rId26" name="threeonetwo"/>
      </mc:Fallback>
    </mc:AlternateContent>
    <mc:AlternateContent xmlns:mc="http://schemas.openxmlformats.org/markup-compatibility/2006">
      <mc:Choice Requires="x14">
        <control shapeId="10244" r:id="rId27" name="threeonethree">
          <controlPr defaultSize="0" autoLine="0" r:id="rId7">
            <anchor moveWithCells="1">
              <from>
                <xdr:col>4</xdr:col>
                <xdr:colOff>276225</xdr:colOff>
                <xdr:row>18</xdr:row>
                <xdr:rowOff>123825</xdr:rowOff>
              </from>
              <to>
                <xdr:col>4</xdr:col>
                <xdr:colOff>523875</xdr:colOff>
                <xdr:row>18</xdr:row>
                <xdr:rowOff>323850</xdr:rowOff>
              </to>
            </anchor>
          </controlPr>
        </control>
      </mc:Choice>
      <mc:Fallback>
        <control shapeId="10244" r:id="rId27" name="threeonethree"/>
      </mc:Fallback>
    </mc:AlternateContent>
    <mc:AlternateContent xmlns:mc="http://schemas.openxmlformats.org/markup-compatibility/2006">
      <mc:Choice Requires="x14">
        <control shapeId="10245" r:id="rId28" name="threeonefour">
          <controlPr defaultSize="0" autoLine="0" r:id="rId7">
            <anchor moveWithCells="1">
              <from>
                <xdr:col>5</xdr:col>
                <xdr:colOff>276225</xdr:colOff>
                <xdr:row>18</xdr:row>
                <xdr:rowOff>123825</xdr:rowOff>
              </from>
              <to>
                <xdr:col>5</xdr:col>
                <xdr:colOff>523875</xdr:colOff>
                <xdr:row>18</xdr:row>
                <xdr:rowOff>323850</xdr:rowOff>
              </to>
            </anchor>
          </controlPr>
        </control>
      </mc:Choice>
      <mc:Fallback>
        <control shapeId="10245" r:id="rId28" name="threeonefour"/>
      </mc:Fallback>
    </mc:AlternateContent>
    <mc:AlternateContent xmlns:mc="http://schemas.openxmlformats.org/markup-compatibility/2006">
      <mc:Choice Requires="x14">
        <control shapeId="10246" r:id="rId29" name="threesixone">
          <controlPr defaultSize="0" autoLine="0" r:id="rId7">
            <anchor moveWithCells="1">
              <from>
                <xdr:col>2</xdr:col>
                <xdr:colOff>276225</xdr:colOff>
                <xdr:row>23</xdr:row>
                <xdr:rowOff>123825</xdr:rowOff>
              </from>
              <to>
                <xdr:col>2</xdr:col>
                <xdr:colOff>523875</xdr:colOff>
                <xdr:row>23</xdr:row>
                <xdr:rowOff>323850</xdr:rowOff>
              </to>
            </anchor>
          </controlPr>
        </control>
      </mc:Choice>
      <mc:Fallback>
        <control shapeId="10246" r:id="rId29" name="threesixone"/>
      </mc:Fallback>
    </mc:AlternateContent>
    <mc:AlternateContent xmlns:mc="http://schemas.openxmlformats.org/markup-compatibility/2006">
      <mc:Choice Requires="x14">
        <control shapeId="10247" r:id="rId30" name="threesixtwo">
          <controlPr defaultSize="0" autoLine="0" r:id="rId7">
            <anchor moveWithCells="1">
              <from>
                <xdr:col>3</xdr:col>
                <xdr:colOff>276225</xdr:colOff>
                <xdr:row>23</xdr:row>
                <xdr:rowOff>123825</xdr:rowOff>
              </from>
              <to>
                <xdr:col>3</xdr:col>
                <xdr:colOff>523875</xdr:colOff>
                <xdr:row>23</xdr:row>
                <xdr:rowOff>323850</xdr:rowOff>
              </to>
            </anchor>
          </controlPr>
        </control>
      </mc:Choice>
      <mc:Fallback>
        <control shapeId="10247" r:id="rId30" name="threesixtwo"/>
      </mc:Fallback>
    </mc:AlternateContent>
    <mc:AlternateContent xmlns:mc="http://schemas.openxmlformats.org/markup-compatibility/2006">
      <mc:Choice Requires="x14">
        <control shapeId="10248" r:id="rId31" name="threesixthree">
          <controlPr defaultSize="0" autoLine="0" r:id="rId7">
            <anchor moveWithCells="1">
              <from>
                <xdr:col>4</xdr:col>
                <xdr:colOff>276225</xdr:colOff>
                <xdr:row>23</xdr:row>
                <xdr:rowOff>123825</xdr:rowOff>
              </from>
              <to>
                <xdr:col>4</xdr:col>
                <xdr:colOff>523875</xdr:colOff>
                <xdr:row>23</xdr:row>
                <xdr:rowOff>323850</xdr:rowOff>
              </to>
            </anchor>
          </controlPr>
        </control>
      </mc:Choice>
      <mc:Fallback>
        <control shapeId="10248" r:id="rId31" name="threesixthree"/>
      </mc:Fallback>
    </mc:AlternateContent>
    <mc:AlternateContent xmlns:mc="http://schemas.openxmlformats.org/markup-compatibility/2006">
      <mc:Choice Requires="x14">
        <control shapeId="10249" r:id="rId32" name="threesixfour">
          <controlPr defaultSize="0" autoLine="0" r:id="rId7">
            <anchor moveWithCells="1">
              <from>
                <xdr:col>5</xdr:col>
                <xdr:colOff>276225</xdr:colOff>
                <xdr:row>23</xdr:row>
                <xdr:rowOff>123825</xdr:rowOff>
              </from>
              <to>
                <xdr:col>5</xdr:col>
                <xdr:colOff>523875</xdr:colOff>
                <xdr:row>23</xdr:row>
                <xdr:rowOff>323850</xdr:rowOff>
              </to>
            </anchor>
          </controlPr>
        </control>
      </mc:Choice>
      <mc:Fallback>
        <control shapeId="10249" r:id="rId32" name="threesixfour"/>
      </mc:Fallback>
    </mc:AlternateContent>
    <mc:AlternateContent xmlns:mc="http://schemas.openxmlformats.org/markup-compatibility/2006">
      <mc:Choice Requires="x14">
        <control shapeId="10250" r:id="rId33" name="threesevenone">
          <controlPr defaultSize="0" autoLine="0" r:id="rId7">
            <anchor moveWithCells="1">
              <from>
                <xdr:col>2</xdr:col>
                <xdr:colOff>276225</xdr:colOff>
                <xdr:row>24</xdr:row>
                <xdr:rowOff>123825</xdr:rowOff>
              </from>
              <to>
                <xdr:col>2</xdr:col>
                <xdr:colOff>523875</xdr:colOff>
                <xdr:row>24</xdr:row>
                <xdr:rowOff>323850</xdr:rowOff>
              </to>
            </anchor>
          </controlPr>
        </control>
      </mc:Choice>
      <mc:Fallback>
        <control shapeId="10250" r:id="rId33" name="threesevenone"/>
      </mc:Fallback>
    </mc:AlternateContent>
    <mc:AlternateContent xmlns:mc="http://schemas.openxmlformats.org/markup-compatibility/2006">
      <mc:Choice Requires="x14">
        <control shapeId="10251" r:id="rId34" name="threeseventwo">
          <controlPr defaultSize="0" autoLine="0" r:id="rId7">
            <anchor moveWithCells="1">
              <from>
                <xdr:col>3</xdr:col>
                <xdr:colOff>276225</xdr:colOff>
                <xdr:row>24</xdr:row>
                <xdr:rowOff>123825</xdr:rowOff>
              </from>
              <to>
                <xdr:col>3</xdr:col>
                <xdr:colOff>523875</xdr:colOff>
                <xdr:row>24</xdr:row>
                <xdr:rowOff>323850</xdr:rowOff>
              </to>
            </anchor>
          </controlPr>
        </control>
      </mc:Choice>
      <mc:Fallback>
        <control shapeId="10251" r:id="rId34" name="threeseventwo"/>
      </mc:Fallback>
    </mc:AlternateContent>
    <mc:AlternateContent xmlns:mc="http://schemas.openxmlformats.org/markup-compatibility/2006">
      <mc:Choice Requires="x14">
        <control shapeId="10252" r:id="rId35" name="threeseventhree">
          <controlPr defaultSize="0" autoLine="0" r:id="rId7">
            <anchor moveWithCells="1">
              <from>
                <xdr:col>4</xdr:col>
                <xdr:colOff>276225</xdr:colOff>
                <xdr:row>24</xdr:row>
                <xdr:rowOff>123825</xdr:rowOff>
              </from>
              <to>
                <xdr:col>4</xdr:col>
                <xdr:colOff>523875</xdr:colOff>
                <xdr:row>24</xdr:row>
                <xdr:rowOff>323850</xdr:rowOff>
              </to>
            </anchor>
          </controlPr>
        </control>
      </mc:Choice>
      <mc:Fallback>
        <control shapeId="10252" r:id="rId35" name="threeseventhree"/>
      </mc:Fallback>
    </mc:AlternateContent>
    <mc:AlternateContent xmlns:mc="http://schemas.openxmlformats.org/markup-compatibility/2006">
      <mc:Choice Requires="x14">
        <control shapeId="10253" r:id="rId36" name="threesevenfour">
          <controlPr defaultSize="0" autoLine="0" r:id="rId7">
            <anchor moveWithCells="1">
              <from>
                <xdr:col>5</xdr:col>
                <xdr:colOff>276225</xdr:colOff>
                <xdr:row>24</xdr:row>
                <xdr:rowOff>123825</xdr:rowOff>
              </from>
              <to>
                <xdr:col>5</xdr:col>
                <xdr:colOff>523875</xdr:colOff>
                <xdr:row>24</xdr:row>
                <xdr:rowOff>323850</xdr:rowOff>
              </to>
            </anchor>
          </controlPr>
        </control>
      </mc:Choice>
      <mc:Fallback>
        <control shapeId="10253" r:id="rId36" name="threesevenfour"/>
      </mc:Fallback>
    </mc:AlternateContent>
    <mc:AlternateContent xmlns:mc="http://schemas.openxmlformats.org/markup-compatibility/2006">
      <mc:Choice Requires="x14">
        <control shapeId="10254" r:id="rId37" name="threeeightone">
          <controlPr defaultSize="0" autoLine="0" r:id="rId7">
            <anchor moveWithCells="1">
              <from>
                <xdr:col>2</xdr:col>
                <xdr:colOff>276225</xdr:colOff>
                <xdr:row>25</xdr:row>
                <xdr:rowOff>123825</xdr:rowOff>
              </from>
              <to>
                <xdr:col>2</xdr:col>
                <xdr:colOff>523875</xdr:colOff>
                <xdr:row>25</xdr:row>
                <xdr:rowOff>323850</xdr:rowOff>
              </to>
            </anchor>
          </controlPr>
        </control>
      </mc:Choice>
      <mc:Fallback>
        <control shapeId="10254" r:id="rId37" name="threeeightone"/>
      </mc:Fallback>
    </mc:AlternateContent>
    <mc:AlternateContent xmlns:mc="http://schemas.openxmlformats.org/markup-compatibility/2006">
      <mc:Choice Requires="x14">
        <control shapeId="10255" r:id="rId38" name="threeeighttwo">
          <controlPr defaultSize="0" autoLine="0" r:id="rId7">
            <anchor moveWithCells="1">
              <from>
                <xdr:col>3</xdr:col>
                <xdr:colOff>276225</xdr:colOff>
                <xdr:row>25</xdr:row>
                <xdr:rowOff>123825</xdr:rowOff>
              </from>
              <to>
                <xdr:col>3</xdr:col>
                <xdr:colOff>523875</xdr:colOff>
                <xdr:row>25</xdr:row>
                <xdr:rowOff>323850</xdr:rowOff>
              </to>
            </anchor>
          </controlPr>
        </control>
      </mc:Choice>
      <mc:Fallback>
        <control shapeId="10255" r:id="rId38" name="threeeighttwo"/>
      </mc:Fallback>
    </mc:AlternateContent>
    <mc:AlternateContent xmlns:mc="http://schemas.openxmlformats.org/markup-compatibility/2006">
      <mc:Choice Requires="x14">
        <control shapeId="10256" r:id="rId39" name="threeeightthree">
          <controlPr defaultSize="0" autoLine="0" r:id="rId7">
            <anchor moveWithCells="1">
              <from>
                <xdr:col>4</xdr:col>
                <xdr:colOff>276225</xdr:colOff>
                <xdr:row>25</xdr:row>
                <xdr:rowOff>123825</xdr:rowOff>
              </from>
              <to>
                <xdr:col>4</xdr:col>
                <xdr:colOff>523875</xdr:colOff>
                <xdr:row>25</xdr:row>
                <xdr:rowOff>323850</xdr:rowOff>
              </to>
            </anchor>
          </controlPr>
        </control>
      </mc:Choice>
      <mc:Fallback>
        <control shapeId="10256" r:id="rId39" name="threeeightthree"/>
      </mc:Fallback>
    </mc:AlternateContent>
    <mc:AlternateContent xmlns:mc="http://schemas.openxmlformats.org/markup-compatibility/2006">
      <mc:Choice Requires="x14">
        <control shapeId="10257" r:id="rId40" name="threeeightfour">
          <controlPr defaultSize="0" autoLine="0" r:id="rId7">
            <anchor moveWithCells="1">
              <from>
                <xdr:col>5</xdr:col>
                <xdr:colOff>276225</xdr:colOff>
                <xdr:row>25</xdr:row>
                <xdr:rowOff>123825</xdr:rowOff>
              </from>
              <to>
                <xdr:col>5</xdr:col>
                <xdr:colOff>523875</xdr:colOff>
                <xdr:row>25</xdr:row>
                <xdr:rowOff>323850</xdr:rowOff>
              </to>
            </anchor>
          </controlPr>
        </control>
      </mc:Choice>
      <mc:Fallback>
        <control shapeId="10257" r:id="rId40" name="threeeightfour"/>
      </mc:Fallback>
    </mc:AlternateContent>
    <mc:AlternateContent xmlns:mc="http://schemas.openxmlformats.org/markup-compatibility/2006">
      <mc:Choice Requires="x14">
        <control shapeId="10302" r:id="rId41" name="threenineone">
          <controlPr defaultSize="0" autoLine="0" r:id="rId7">
            <anchor moveWithCells="1">
              <from>
                <xdr:col>2</xdr:col>
                <xdr:colOff>276225</xdr:colOff>
                <xdr:row>26</xdr:row>
                <xdr:rowOff>123825</xdr:rowOff>
              </from>
              <to>
                <xdr:col>2</xdr:col>
                <xdr:colOff>523875</xdr:colOff>
                <xdr:row>26</xdr:row>
                <xdr:rowOff>323850</xdr:rowOff>
              </to>
            </anchor>
          </controlPr>
        </control>
      </mc:Choice>
      <mc:Fallback>
        <control shapeId="10302" r:id="rId41" name="threenineone"/>
      </mc:Fallback>
    </mc:AlternateContent>
    <mc:AlternateContent xmlns:mc="http://schemas.openxmlformats.org/markup-compatibility/2006">
      <mc:Choice Requires="x14">
        <control shapeId="10303" r:id="rId42" name="threeninetwo">
          <controlPr defaultSize="0" autoLine="0" r:id="rId7">
            <anchor moveWithCells="1">
              <from>
                <xdr:col>3</xdr:col>
                <xdr:colOff>276225</xdr:colOff>
                <xdr:row>26</xdr:row>
                <xdr:rowOff>123825</xdr:rowOff>
              </from>
              <to>
                <xdr:col>3</xdr:col>
                <xdr:colOff>523875</xdr:colOff>
                <xdr:row>26</xdr:row>
                <xdr:rowOff>323850</xdr:rowOff>
              </to>
            </anchor>
          </controlPr>
        </control>
      </mc:Choice>
      <mc:Fallback>
        <control shapeId="10303" r:id="rId42" name="threeninetwo"/>
      </mc:Fallback>
    </mc:AlternateContent>
    <mc:AlternateContent xmlns:mc="http://schemas.openxmlformats.org/markup-compatibility/2006">
      <mc:Choice Requires="x14">
        <control shapeId="10304" r:id="rId43" name="threeninethree">
          <controlPr defaultSize="0" autoLine="0" r:id="rId7">
            <anchor moveWithCells="1">
              <from>
                <xdr:col>4</xdr:col>
                <xdr:colOff>276225</xdr:colOff>
                <xdr:row>26</xdr:row>
                <xdr:rowOff>123825</xdr:rowOff>
              </from>
              <to>
                <xdr:col>4</xdr:col>
                <xdr:colOff>523875</xdr:colOff>
                <xdr:row>26</xdr:row>
                <xdr:rowOff>323850</xdr:rowOff>
              </to>
            </anchor>
          </controlPr>
        </control>
      </mc:Choice>
      <mc:Fallback>
        <control shapeId="10304" r:id="rId43" name="threeninethree"/>
      </mc:Fallback>
    </mc:AlternateContent>
    <mc:AlternateContent xmlns:mc="http://schemas.openxmlformats.org/markup-compatibility/2006">
      <mc:Choice Requires="x14">
        <control shapeId="10305" r:id="rId44" name="threeninefour">
          <controlPr defaultSize="0" autoLine="0" r:id="rId7">
            <anchor moveWithCells="1">
              <from>
                <xdr:col>5</xdr:col>
                <xdr:colOff>276225</xdr:colOff>
                <xdr:row>26</xdr:row>
                <xdr:rowOff>123825</xdr:rowOff>
              </from>
              <to>
                <xdr:col>5</xdr:col>
                <xdr:colOff>523875</xdr:colOff>
                <xdr:row>26</xdr:row>
                <xdr:rowOff>323850</xdr:rowOff>
              </to>
            </anchor>
          </controlPr>
        </control>
      </mc:Choice>
      <mc:Fallback>
        <control shapeId="10305" r:id="rId44" name="threeninefour"/>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ackground_data">
    <tabColor rgb="FF283897"/>
  </sheetPr>
  <dimension ref="B3:H28"/>
  <sheetViews>
    <sheetView workbookViewId="0">
      <selection activeCell="E8" sqref="E8"/>
    </sheetView>
  </sheetViews>
  <sheetFormatPr defaultColWidth="11" defaultRowHeight="15.75" x14ac:dyDescent="0.25"/>
  <cols>
    <col min="1" max="1" width="11" style="5"/>
    <col min="2" max="2" width="36.5" style="5" customWidth="1"/>
    <col min="3" max="3" width="11" style="5"/>
    <col min="4" max="4" width="11.875" style="5" customWidth="1"/>
    <col min="5" max="5" width="11" style="5"/>
    <col min="6" max="6" width="36.625" style="5" customWidth="1"/>
    <col min="7" max="7" width="11" style="5"/>
    <col min="8" max="8" width="16.375" style="5" customWidth="1"/>
    <col min="9" max="16384" width="11" style="5"/>
  </cols>
  <sheetData>
    <row r="3" spans="2:8" x14ac:dyDescent="0.25">
      <c r="B3" s="9" t="s">
        <v>21</v>
      </c>
      <c r="D3" s="4" t="s">
        <v>178</v>
      </c>
      <c r="F3" s="9" t="s">
        <v>22</v>
      </c>
      <c r="H3" s="4" t="s">
        <v>23</v>
      </c>
    </row>
    <row r="4" spans="2:8" x14ac:dyDescent="0.25">
      <c r="B4" s="7" t="s">
        <v>24</v>
      </c>
      <c r="D4" s="48" t="s">
        <v>25</v>
      </c>
      <c r="E4" s="49">
        <v>2</v>
      </c>
      <c r="F4" s="10"/>
    </row>
    <row r="5" spans="2:8" x14ac:dyDescent="0.25">
      <c r="B5" s="7" t="s">
        <v>27</v>
      </c>
      <c r="D5" s="50" t="s">
        <v>28</v>
      </c>
      <c r="E5" s="46">
        <v>5</v>
      </c>
      <c r="F5" s="7" t="s">
        <v>26</v>
      </c>
    </row>
    <row r="6" spans="2:8" x14ac:dyDescent="0.25">
      <c r="B6" s="7" t="s">
        <v>30</v>
      </c>
      <c r="D6" s="50" t="s">
        <v>31</v>
      </c>
      <c r="E6" s="46">
        <v>10</v>
      </c>
      <c r="F6" s="11" t="s">
        <v>29</v>
      </c>
    </row>
    <row r="7" spans="2:8" x14ac:dyDescent="0.25">
      <c r="B7" s="7" t="s">
        <v>33</v>
      </c>
      <c r="D7" s="51" t="s">
        <v>34</v>
      </c>
      <c r="E7" s="47">
        <v>-15</v>
      </c>
      <c r="F7" s="7" t="s">
        <v>32</v>
      </c>
    </row>
    <row r="8" spans="2:8" x14ac:dyDescent="0.25">
      <c r="B8" s="7" t="s">
        <v>36</v>
      </c>
      <c r="F8" s="7" t="s">
        <v>35</v>
      </c>
    </row>
    <row r="9" spans="2:8" x14ac:dyDescent="0.25">
      <c r="B9" s="7" t="s">
        <v>38</v>
      </c>
      <c r="D9" s="9" t="s">
        <v>65</v>
      </c>
      <c r="F9" s="7" t="s">
        <v>37</v>
      </c>
    </row>
    <row r="10" spans="2:8" x14ac:dyDescent="0.25">
      <c r="B10" s="7" t="s">
        <v>40</v>
      </c>
      <c r="D10" s="7"/>
      <c r="F10" s="7" t="s">
        <v>39</v>
      </c>
    </row>
    <row r="11" spans="2:8" x14ac:dyDescent="0.25">
      <c r="B11" s="7" t="s">
        <v>42</v>
      </c>
      <c r="D11" s="7" t="s">
        <v>60</v>
      </c>
      <c r="F11" s="7" t="s">
        <v>41</v>
      </c>
    </row>
    <row r="12" spans="2:8" x14ac:dyDescent="0.25">
      <c r="B12" s="7" t="s">
        <v>44</v>
      </c>
      <c r="D12" s="8" t="s">
        <v>61</v>
      </c>
      <c r="F12" s="7" t="s">
        <v>43</v>
      </c>
    </row>
    <row r="13" spans="2:8" x14ac:dyDescent="0.25">
      <c r="B13" s="7" t="s">
        <v>46</v>
      </c>
      <c r="F13" s="7" t="s">
        <v>45</v>
      </c>
    </row>
    <row r="14" spans="2:8" x14ac:dyDescent="0.25">
      <c r="B14" s="7" t="s">
        <v>48</v>
      </c>
      <c r="D14" s="6" t="s">
        <v>66</v>
      </c>
      <c r="F14" s="7" t="s">
        <v>47</v>
      </c>
    </row>
    <row r="15" spans="2:8" x14ac:dyDescent="0.25">
      <c r="B15" s="7" t="s">
        <v>50</v>
      </c>
      <c r="D15" s="7"/>
      <c r="F15" s="7" t="s">
        <v>49</v>
      </c>
    </row>
    <row r="16" spans="2:8" x14ac:dyDescent="0.25">
      <c r="B16" s="7" t="s">
        <v>52</v>
      </c>
      <c r="D16" s="7" t="s">
        <v>68</v>
      </c>
      <c r="F16" s="8" t="s">
        <v>51</v>
      </c>
    </row>
    <row r="17" spans="2:4" x14ac:dyDescent="0.25">
      <c r="B17" s="8" t="s">
        <v>53</v>
      </c>
      <c r="D17" s="7" t="s">
        <v>67</v>
      </c>
    </row>
    <row r="18" spans="2:4" x14ac:dyDescent="0.25">
      <c r="D18" s="8" t="s">
        <v>0</v>
      </c>
    </row>
    <row r="21" spans="2:4" x14ac:dyDescent="0.25">
      <c r="D21" s="6" t="s">
        <v>119</v>
      </c>
    </row>
    <row r="22" spans="2:4" x14ac:dyDescent="0.25">
      <c r="D22" s="7"/>
    </row>
    <row r="23" spans="2:4" x14ac:dyDescent="0.25">
      <c r="D23" s="7">
        <v>1</v>
      </c>
    </row>
    <row r="24" spans="2:4" x14ac:dyDescent="0.25">
      <c r="D24" s="7">
        <v>2</v>
      </c>
    </row>
    <row r="25" spans="2:4" x14ac:dyDescent="0.25">
      <c r="D25" s="7">
        <v>3</v>
      </c>
    </row>
    <row r="26" spans="2:4" x14ac:dyDescent="0.25">
      <c r="D26" s="7">
        <v>4</v>
      </c>
    </row>
    <row r="27" spans="2:4" x14ac:dyDescent="0.25">
      <c r="D27" s="7">
        <v>5</v>
      </c>
    </row>
    <row r="28" spans="2:4" x14ac:dyDescent="0.25">
      <c r="D28" s="8">
        <v>6</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sterController">
    <tabColor rgb="FF283897"/>
  </sheetPr>
  <dimension ref="A2:Z114"/>
  <sheetViews>
    <sheetView topLeftCell="A97" workbookViewId="0">
      <selection activeCell="C80" sqref="C80"/>
    </sheetView>
  </sheetViews>
  <sheetFormatPr defaultRowHeight="14.25" x14ac:dyDescent="0.2"/>
  <cols>
    <col min="1" max="1" width="14" bestFit="1" customWidth="1"/>
    <col min="2" max="2" width="52.75" bestFit="1" customWidth="1"/>
    <col min="3" max="3" width="29.5" bestFit="1" customWidth="1"/>
    <col min="4" max="4" width="21.375" bestFit="1" customWidth="1"/>
    <col min="7" max="7" width="10.75" bestFit="1" customWidth="1"/>
    <col min="8" max="16" width="10.5" customWidth="1"/>
    <col min="17" max="17" width="11.875" customWidth="1"/>
    <col min="18" max="19" width="10.5" customWidth="1"/>
  </cols>
  <sheetData>
    <row r="2" spans="1:26" x14ac:dyDescent="0.2">
      <c r="A2" s="113" t="s">
        <v>81</v>
      </c>
      <c r="B2" s="114"/>
      <c r="N2" t="s">
        <v>167</v>
      </c>
    </row>
    <row r="3" spans="1:26" ht="94.5" x14ac:dyDescent="0.25">
      <c r="A3" s="18" t="s">
        <v>82</v>
      </c>
      <c r="B3" s="19" t="b">
        <v>0</v>
      </c>
      <c r="N3" s="39"/>
      <c r="O3" s="40" t="s">
        <v>26</v>
      </c>
      <c r="P3" s="40" t="s">
        <v>29</v>
      </c>
      <c r="Q3" s="40" t="s">
        <v>32</v>
      </c>
      <c r="R3" s="40" t="s">
        <v>35</v>
      </c>
      <c r="S3" s="40" t="s">
        <v>37</v>
      </c>
      <c r="T3" s="40" t="s">
        <v>39</v>
      </c>
      <c r="U3" s="40" t="s">
        <v>41</v>
      </c>
      <c r="V3" s="40" t="s">
        <v>43</v>
      </c>
      <c r="W3" s="40" t="s">
        <v>45</v>
      </c>
      <c r="X3" s="40" t="s">
        <v>47</v>
      </c>
      <c r="Y3" s="40" t="s">
        <v>49</v>
      </c>
      <c r="Z3" s="40" t="s">
        <v>51</v>
      </c>
    </row>
    <row r="4" spans="1:26" x14ac:dyDescent="0.2">
      <c r="A4" s="18" t="s">
        <v>83</v>
      </c>
      <c r="B4" s="19" t="b">
        <v>0</v>
      </c>
      <c r="N4" s="39" t="s">
        <v>24</v>
      </c>
      <c r="O4" s="39" t="s">
        <v>31</v>
      </c>
      <c r="P4" s="39" t="s">
        <v>28</v>
      </c>
      <c r="Q4" s="39" t="s">
        <v>34</v>
      </c>
      <c r="R4" s="39" t="s">
        <v>34</v>
      </c>
      <c r="S4" s="39" t="s">
        <v>28</v>
      </c>
      <c r="T4" s="39" t="s">
        <v>25</v>
      </c>
      <c r="U4" s="39" t="s">
        <v>31</v>
      </c>
      <c r="V4" s="39" t="s">
        <v>31</v>
      </c>
      <c r="W4" s="39" t="s">
        <v>31</v>
      </c>
      <c r="X4" s="39" t="s">
        <v>31</v>
      </c>
      <c r="Y4" s="39" t="s">
        <v>25</v>
      </c>
      <c r="Z4" s="39" t="s">
        <v>25</v>
      </c>
    </row>
    <row r="5" spans="1:26" x14ac:dyDescent="0.2">
      <c r="A5" s="18" t="s">
        <v>84</v>
      </c>
      <c r="B5" s="19" t="b">
        <v>0</v>
      </c>
      <c r="N5" s="39" t="s">
        <v>27</v>
      </c>
      <c r="O5" s="39" t="s">
        <v>31</v>
      </c>
      <c r="P5" s="39" t="s">
        <v>28</v>
      </c>
      <c r="Q5" s="39" t="s">
        <v>25</v>
      </c>
      <c r="R5" s="39" t="s">
        <v>25</v>
      </c>
      <c r="S5" s="39" t="s">
        <v>28</v>
      </c>
      <c r="T5" s="39" t="s">
        <v>34</v>
      </c>
      <c r="U5" s="39" t="s">
        <v>31</v>
      </c>
      <c r="V5" s="39" t="s">
        <v>31</v>
      </c>
      <c r="W5" s="39" t="s">
        <v>31</v>
      </c>
      <c r="X5" s="39" t="s">
        <v>31</v>
      </c>
      <c r="Y5" s="39" t="s">
        <v>25</v>
      </c>
      <c r="Z5" s="39" t="s">
        <v>25</v>
      </c>
    </row>
    <row r="6" spans="1:26" x14ac:dyDescent="0.2">
      <c r="A6" s="18" t="s">
        <v>85</v>
      </c>
      <c r="B6" s="19" t="b">
        <v>0</v>
      </c>
      <c r="N6" s="39" t="s">
        <v>30</v>
      </c>
      <c r="O6" s="39" t="s">
        <v>31</v>
      </c>
      <c r="P6" s="39" t="s">
        <v>28</v>
      </c>
      <c r="Q6" s="39" t="s">
        <v>25</v>
      </c>
      <c r="R6" s="39" t="s">
        <v>25</v>
      </c>
      <c r="S6" s="39" t="s">
        <v>25</v>
      </c>
      <c r="T6" s="39" t="s">
        <v>34</v>
      </c>
      <c r="U6" s="39" t="s">
        <v>31</v>
      </c>
      <c r="V6" s="39" t="s">
        <v>31</v>
      </c>
      <c r="W6" s="39" t="s">
        <v>31</v>
      </c>
      <c r="X6" s="39" t="s">
        <v>31</v>
      </c>
      <c r="Y6" s="39" t="s">
        <v>25</v>
      </c>
      <c r="Z6" s="39" t="s">
        <v>25</v>
      </c>
    </row>
    <row r="7" spans="1:26" x14ac:dyDescent="0.2">
      <c r="A7" s="20"/>
      <c r="B7" s="21"/>
      <c r="N7" s="39" t="s">
        <v>33</v>
      </c>
      <c r="O7" s="39" t="s">
        <v>31</v>
      </c>
      <c r="P7" s="39" t="s">
        <v>28</v>
      </c>
      <c r="Q7" s="39" t="s">
        <v>25</v>
      </c>
      <c r="R7" s="39" t="s">
        <v>25</v>
      </c>
      <c r="S7" s="39" t="s">
        <v>25</v>
      </c>
      <c r="T7" s="39" t="s">
        <v>34</v>
      </c>
      <c r="U7" s="39" t="s">
        <v>31</v>
      </c>
      <c r="V7" s="39" t="s">
        <v>31</v>
      </c>
      <c r="W7" s="39" t="s">
        <v>31</v>
      </c>
      <c r="X7" s="39" t="s">
        <v>31</v>
      </c>
      <c r="Y7" s="39" t="s">
        <v>25</v>
      </c>
      <c r="Z7" s="39" t="s">
        <v>25</v>
      </c>
    </row>
    <row r="8" spans="1:26" x14ac:dyDescent="0.2">
      <c r="N8" s="39" t="s">
        <v>36</v>
      </c>
      <c r="O8" s="39" t="s">
        <v>31</v>
      </c>
      <c r="P8" s="39" t="s">
        <v>28</v>
      </c>
      <c r="Q8" s="39" t="s">
        <v>34</v>
      </c>
      <c r="R8" s="39" t="s">
        <v>34</v>
      </c>
      <c r="S8" s="39" t="s">
        <v>34</v>
      </c>
      <c r="T8" s="39" t="s">
        <v>34</v>
      </c>
      <c r="U8" s="39" t="s">
        <v>31</v>
      </c>
      <c r="V8" s="39" t="s">
        <v>31</v>
      </c>
      <c r="W8" s="39" t="s">
        <v>31</v>
      </c>
      <c r="X8" s="39" t="s">
        <v>31</v>
      </c>
      <c r="Y8" s="39" t="s">
        <v>25</v>
      </c>
      <c r="Z8" s="39" t="s">
        <v>25</v>
      </c>
    </row>
    <row r="9" spans="1:26" x14ac:dyDescent="0.2">
      <c r="E9" t="s">
        <v>184</v>
      </c>
      <c r="N9" s="39" t="s">
        <v>38</v>
      </c>
      <c r="O9" s="39" t="s">
        <v>31</v>
      </c>
      <c r="P9" s="39" t="s">
        <v>28</v>
      </c>
      <c r="Q9" s="39" t="s">
        <v>34</v>
      </c>
      <c r="R9" s="39" t="s">
        <v>34</v>
      </c>
      <c r="S9" s="39" t="s">
        <v>34</v>
      </c>
      <c r="T9" s="39" t="s">
        <v>34</v>
      </c>
      <c r="U9" s="39" t="s">
        <v>31</v>
      </c>
      <c r="V9" s="39" t="s">
        <v>31</v>
      </c>
      <c r="W9" s="39" t="s">
        <v>31</v>
      </c>
      <c r="X9" s="39" t="s">
        <v>31</v>
      </c>
      <c r="Y9" s="39" t="s">
        <v>25</v>
      </c>
      <c r="Z9" s="39" t="s">
        <v>25</v>
      </c>
    </row>
    <row r="10" spans="1:26" ht="15" thickBot="1" x14ac:dyDescent="0.25">
      <c r="A10" s="30" t="s">
        <v>143</v>
      </c>
      <c r="B10" s="30" t="s">
        <v>56</v>
      </c>
      <c r="C10" s="31">
        <f>Page_One!C4</f>
        <v>0</v>
      </c>
      <c r="D10" t="s">
        <v>179</v>
      </c>
      <c r="N10" s="39" t="s">
        <v>40</v>
      </c>
      <c r="O10" s="39" t="s">
        <v>31</v>
      </c>
      <c r="P10" s="39" t="s">
        <v>28</v>
      </c>
      <c r="Q10" s="39" t="s">
        <v>25</v>
      </c>
      <c r="R10" s="39" t="s">
        <v>34</v>
      </c>
      <c r="S10" s="39" t="s">
        <v>34</v>
      </c>
      <c r="T10" s="39" t="s">
        <v>25</v>
      </c>
      <c r="U10" s="39" t="s">
        <v>31</v>
      </c>
      <c r="V10" s="39" t="s">
        <v>31</v>
      </c>
      <c r="W10" s="39" t="s">
        <v>31</v>
      </c>
      <c r="X10" s="39" t="s">
        <v>31</v>
      </c>
      <c r="Y10" s="39" t="s">
        <v>25</v>
      </c>
      <c r="Z10" s="39" t="s">
        <v>25</v>
      </c>
    </row>
    <row r="11" spans="1:26" ht="15" thickBot="1" x14ac:dyDescent="0.25">
      <c r="A11" s="18"/>
      <c r="B11" s="18" t="s">
        <v>57</v>
      </c>
      <c r="C11" s="56">
        <f>Page_One!C5</f>
        <v>0</v>
      </c>
      <c r="D11" t="s">
        <v>180</v>
      </c>
      <c r="F11">
        <v>0</v>
      </c>
      <c r="G11" t="s">
        <v>181</v>
      </c>
      <c r="H11" s="52" t="s">
        <v>182</v>
      </c>
      <c r="I11" t="s">
        <v>183</v>
      </c>
      <c r="N11" s="39" t="s">
        <v>42</v>
      </c>
      <c r="O11" s="39" t="s">
        <v>31</v>
      </c>
      <c r="P11" s="39" t="s">
        <v>28</v>
      </c>
      <c r="Q11" s="39" t="s">
        <v>34</v>
      </c>
      <c r="R11" s="39" t="s">
        <v>34</v>
      </c>
      <c r="S11" s="39" t="s">
        <v>25</v>
      </c>
      <c r="T11" s="39" t="s">
        <v>34</v>
      </c>
      <c r="U11" s="39" t="s">
        <v>31</v>
      </c>
      <c r="V11" s="39" t="s">
        <v>31</v>
      </c>
      <c r="W11" s="39" t="s">
        <v>31</v>
      </c>
      <c r="X11" s="39" t="s">
        <v>31</v>
      </c>
      <c r="Y11" s="39" t="s">
        <v>25</v>
      </c>
      <c r="Z11" s="39" t="s">
        <v>25</v>
      </c>
    </row>
    <row r="12" spans="1:26" x14ac:dyDescent="0.2">
      <c r="A12" s="18"/>
      <c r="B12" s="18" t="s">
        <v>58</v>
      </c>
      <c r="C12" s="19">
        <f>Page_One!C6</f>
        <v>0</v>
      </c>
      <c r="D12">
        <f>SUM(F12:I12)</f>
        <v>1</v>
      </c>
      <c r="E12" t="s">
        <v>185</v>
      </c>
      <c r="F12">
        <f>IF($C$12=0, 1,0)</f>
        <v>1</v>
      </c>
      <c r="G12">
        <f>IF(AND($C$12&gt;0, $C$12&lt;6), 5,0)</f>
        <v>0</v>
      </c>
      <c r="H12">
        <f>IF(AND($C$12&gt;5, $C$12&lt;11), 10,0)</f>
        <v>0</v>
      </c>
      <c r="I12">
        <f>IF($C$12&gt;11, 15,0)</f>
        <v>0</v>
      </c>
      <c r="N12" s="39" t="s">
        <v>44</v>
      </c>
      <c r="O12" s="39" t="s">
        <v>31</v>
      </c>
      <c r="P12" s="39" t="s">
        <v>28</v>
      </c>
      <c r="Q12" s="39" t="s">
        <v>34</v>
      </c>
      <c r="R12" s="39" t="s">
        <v>34</v>
      </c>
      <c r="S12" s="39" t="s">
        <v>34</v>
      </c>
      <c r="T12" s="39" t="s">
        <v>34</v>
      </c>
      <c r="U12" s="39" t="s">
        <v>31</v>
      </c>
      <c r="V12" s="39" t="s">
        <v>31</v>
      </c>
      <c r="W12" s="39" t="s">
        <v>31</v>
      </c>
      <c r="X12" s="39" t="s">
        <v>31</v>
      </c>
      <c r="Y12" s="39" t="s">
        <v>25</v>
      </c>
      <c r="Z12" s="39" t="s">
        <v>25</v>
      </c>
    </row>
    <row r="13" spans="1:26" x14ac:dyDescent="0.2">
      <c r="A13" s="18"/>
      <c r="B13" s="18" t="s">
        <v>59</v>
      </c>
      <c r="C13" s="19">
        <f>Page_One!C7</f>
        <v>0</v>
      </c>
      <c r="D13">
        <f>IF($C$13="Yes", 10,0)</f>
        <v>0</v>
      </c>
      <c r="N13" s="39" t="s">
        <v>46</v>
      </c>
      <c r="O13" s="39" t="s">
        <v>31</v>
      </c>
      <c r="P13" s="39" t="s">
        <v>28</v>
      </c>
      <c r="Q13" s="39" t="s">
        <v>34</v>
      </c>
      <c r="R13" s="39" t="s">
        <v>34</v>
      </c>
      <c r="S13" s="39" t="s">
        <v>25</v>
      </c>
      <c r="T13" s="39" t="s">
        <v>25</v>
      </c>
      <c r="U13" s="39" t="s">
        <v>31</v>
      </c>
      <c r="V13" s="39" t="s">
        <v>31</v>
      </c>
      <c r="W13" s="39" t="s">
        <v>31</v>
      </c>
      <c r="X13" s="39" t="s">
        <v>31</v>
      </c>
      <c r="Y13" s="39" t="s">
        <v>25</v>
      </c>
      <c r="Z13" s="39" t="s">
        <v>25</v>
      </c>
    </row>
    <row r="14" spans="1:26" x14ac:dyDescent="0.2">
      <c r="A14" s="18"/>
      <c r="B14" s="18" t="s">
        <v>62</v>
      </c>
      <c r="C14" s="19">
        <f>Page_One!C8</f>
        <v>0</v>
      </c>
      <c r="D14">
        <f>IF(OR(C14=0,C14=" "),0,5)</f>
        <v>0</v>
      </c>
      <c r="E14" t="s">
        <v>185</v>
      </c>
      <c r="N14" s="39" t="s">
        <v>48</v>
      </c>
      <c r="O14" s="39" t="s">
        <v>31</v>
      </c>
      <c r="P14" s="39" t="s">
        <v>28</v>
      </c>
      <c r="Q14" s="39" t="s">
        <v>25</v>
      </c>
      <c r="R14" s="39" t="s">
        <v>25</v>
      </c>
      <c r="S14" s="39" t="s">
        <v>25</v>
      </c>
      <c r="T14" s="39" t="s">
        <v>28</v>
      </c>
      <c r="U14" s="39" t="s">
        <v>31</v>
      </c>
      <c r="V14" s="39" t="s">
        <v>31</v>
      </c>
      <c r="W14" s="39" t="s">
        <v>31</v>
      </c>
      <c r="X14" s="39" t="s">
        <v>31</v>
      </c>
      <c r="Y14" s="39" t="s">
        <v>25</v>
      </c>
      <c r="Z14" s="39" t="s">
        <v>25</v>
      </c>
    </row>
    <row r="15" spans="1:26" x14ac:dyDescent="0.2">
      <c r="A15" s="18"/>
      <c r="B15" s="18" t="s">
        <v>63</v>
      </c>
      <c r="C15" s="19">
        <f>Page_One!C9</f>
        <v>0</v>
      </c>
      <c r="D15">
        <f>SUM(F15:I15)</f>
        <v>1</v>
      </c>
      <c r="E15">
        <v>14</v>
      </c>
      <c r="F15">
        <f>IF($C$15=0, 1,0)</f>
        <v>1</v>
      </c>
      <c r="G15">
        <f>IF(AND($C$15&gt;0, $C$15&lt;6), 5,0)</f>
        <v>0</v>
      </c>
      <c r="H15">
        <f>IF(AND($C$15&gt;5, $C$15&lt;11), 10,0)</f>
        <v>0</v>
      </c>
      <c r="I15">
        <f>IF($C$15&gt;11, 15,0)</f>
        <v>0</v>
      </c>
      <c r="N15" s="39" t="s">
        <v>50</v>
      </c>
      <c r="O15" s="39" t="s">
        <v>31</v>
      </c>
      <c r="P15" s="39" t="s">
        <v>28</v>
      </c>
      <c r="Q15" s="39" t="s">
        <v>25</v>
      </c>
      <c r="R15" s="39" t="s">
        <v>25</v>
      </c>
      <c r="S15" s="39" t="s">
        <v>25</v>
      </c>
      <c r="T15" s="39" t="s">
        <v>25</v>
      </c>
      <c r="U15" s="39" t="s">
        <v>31</v>
      </c>
      <c r="V15" s="39" t="s">
        <v>31</v>
      </c>
      <c r="W15" s="39" t="s">
        <v>31</v>
      </c>
      <c r="X15" s="39" t="s">
        <v>31</v>
      </c>
      <c r="Y15" s="39" t="s">
        <v>25</v>
      </c>
      <c r="Z15" s="39" t="s">
        <v>25</v>
      </c>
    </row>
    <row r="16" spans="1:26" x14ac:dyDescent="0.2">
      <c r="A16" s="18"/>
      <c r="B16" s="20" t="s">
        <v>64</v>
      </c>
      <c r="C16" s="21">
        <f>Page_One!C10</f>
        <v>0</v>
      </c>
      <c r="N16" s="39" t="s">
        <v>52</v>
      </c>
      <c r="O16" s="39" t="s">
        <v>31</v>
      </c>
      <c r="P16" s="39" t="s">
        <v>28</v>
      </c>
      <c r="Q16" s="39" t="s">
        <v>25</v>
      </c>
      <c r="R16" s="39" t="s">
        <v>34</v>
      </c>
      <c r="S16" s="39" t="s">
        <v>34</v>
      </c>
      <c r="T16" s="39" t="s">
        <v>34</v>
      </c>
      <c r="U16" s="39" t="s">
        <v>31</v>
      </c>
      <c r="V16" s="39" t="s">
        <v>31</v>
      </c>
      <c r="W16" s="39" t="s">
        <v>31</v>
      </c>
      <c r="X16" s="39" t="s">
        <v>31</v>
      </c>
      <c r="Y16" s="39" t="s">
        <v>25</v>
      </c>
      <c r="Z16" s="39" t="s">
        <v>25</v>
      </c>
    </row>
    <row r="17" spans="1:26" x14ac:dyDescent="0.2">
      <c r="A17" s="18"/>
      <c r="B17" s="32"/>
      <c r="C17" s="19"/>
      <c r="N17" s="39" t="s">
        <v>53</v>
      </c>
      <c r="O17" s="39" t="s">
        <v>31</v>
      </c>
      <c r="P17" s="39" t="s">
        <v>34</v>
      </c>
      <c r="Q17" s="39" t="s">
        <v>34</v>
      </c>
      <c r="R17" s="39" t="s">
        <v>34</v>
      </c>
      <c r="S17" s="39" t="s">
        <v>34</v>
      </c>
      <c r="T17" s="39" t="s">
        <v>34</v>
      </c>
      <c r="U17" s="39" t="s">
        <v>28</v>
      </c>
      <c r="V17" s="39" t="s">
        <v>25</v>
      </c>
      <c r="W17" s="39" t="s">
        <v>31</v>
      </c>
      <c r="X17" s="39" t="s">
        <v>31</v>
      </c>
      <c r="Y17" s="39" t="s">
        <v>34</v>
      </c>
      <c r="Z17" s="39" t="s">
        <v>34</v>
      </c>
    </row>
    <row r="18" spans="1:26" ht="28.5" customHeight="1" x14ac:dyDescent="0.25">
      <c r="A18" s="18"/>
      <c r="B18" s="111" t="s">
        <v>70</v>
      </c>
      <c r="C18" s="112"/>
      <c r="L18" s="59" t="s">
        <v>189</v>
      </c>
      <c r="M18" s="59">
        <v>1</v>
      </c>
      <c r="N18" s="59">
        <v>2</v>
      </c>
      <c r="O18" s="59">
        <v>3</v>
      </c>
      <c r="P18" s="59">
        <v>4</v>
      </c>
      <c r="Q18" s="59">
        <v>5</v>
      </c>
      <c r="R18" s="59">
        <v>6</v>
      </c>
      <c r="S18" s="59">
        <v>7</v>
      </c>
      <c r="T18" s="59">
        <v>8</v>
      </c>
      <c r="U18" s="59">
        <v>9</v>
      </c>
      <c r="V18" s="59">
        <v>10</v>
      </c>
      <c r="W18" s="59">
        <v>11</v>
      </c>
      <c r="X18" s="59">
        <v>12</v>
      </c>
      <c r="Y18" s="59">
        <v>13</v>
      </c>
      <c r="Z18" s="59">
        <v>14</v>
      </c>
    </row>
    <row r="19" spans="1:26" ht="15" x14ac:dyDescent="0.25">
      <c r="A19" s="18"/>
      <c r="B19" s="18" t="s">
        <v>2</v>
      </c>
      <c r="C19" s="19">
        <f>Page_One!C14</f>
        <v>0</v>
      </c>
      <c r="L19" s="59" t="s">
        <v>190</v>
      </c>
      <c r="M19" s="39"/>
      <c r="N19" s="39"/>
      <c r="O19" s="39"/>
      <c r="P19" s="39"/>
      <c r="Q19" s="39"/>
      <c r="R19" s="39"/>
      <c r="S19" s="39"/>
      <c r="T19" s="39"/>
      <c r="U19" s="39"/>
      <c r="V19" s="39"/>
      <c r="W19" s="39"/>
      <c r="X19" s="39"/>
      <c r="Y19" s="39"/>
      <c r="Z19" s="39"/>
    </row>
    <row r="20" spans="1:26" ht="15" x14ac:dyDescent="0.25">
      <c r="A20" s="18"/>
      <c r="B20" s="18" t="s">
        <v>3</v>
      </c>
      <c r="C20" s="19">
        <f>Page_One!C15</f>
        <v>0</v>
      </c>
      <c r="L20" s="59" t="s">
        <v>191</v>
      </c>
      <c r="M20" s="39"/>
      <c r="N20" s="39"/>
      <c r="O20" s="39"/>
      <c r="P20" s="39"/>
      <c r="Q20" s="39"/>
      <c r="R20" s="39"/>
      <c r="S20" s="39"/>
      <c r="T20" s="39"/>
      <c r="U20" s="39"/>
      <c r="V20" s="39"/>
      <c r="W20" s="39"/>
      <c r="X20" s="39"/>
      <c r="Y20" s="39"/>
      <c r="Z20" s="39"/>
    </row>
    <row r="21" spans="1:26" ht="15" x14ac:dyDescent="0.25">
      <c r="A21" s="18"/>
      <c r="B21" s="18" t="s">
        <v>4</v>
      </c>
      <c r="C21" s="19">
        <f>Page_One!C16</f>
        <v>0</v>
      </c>
      <c r="L21" s="59" t="s">
        <v>192</v>
      </c>
      <c r="M21" s="39">
        <f>D12</f>
        <v>1</v>
      </c>
      <c r="N21" s="39"/>
      <c r="O21" s="39"/>
      <c r="P21" s="39"/>
      <c r="Q21" s="39"/>
      <c r="R21" s="39"/>
      <c r="S21" s="39"/>
      <c r="T21" s="39"/>
      <c r="U21" s="39"/>
      <c r="V21" s="39"/>
      <c r="W21" s="39"/>
      <c r="X21" s="39">
        <f>D12</f>
        <v>1</v>
      </c>
      <c r="Y21" s="39"/>
      <c r="Z21" s="39"/>
    </row>
    <row r="22" spans="1:26" ht="15" x14ac:dyDescent="0.25">
      <c r="A22" s="18"/>
      <c r="B22" s="18" t="s">
        <v>71</v>
      </c>
      <c r="C22" s="19">
        <f>Page_One!C17</f>
        <v>0</v>
      </c>
      <c r="L22" s="59" t="s">
        <v>193</v>
      </c>
      <c r="M22" s="39"/>
      <c r="N22" s="39"/>
      <c r="O22" s="39"/>
      <c r="P22" s="39"/>
      <c r="Q22" s="39"/>
      <c r="R22" s="39"/>
      <c r="S22" s="39"/>
      <c r="T22" s="39"/>
      <c r="U22" s="39"/>
      <c r="V22" s="39"/>
      <c r="W22" s="39">
        <f>D13</f>
        <v>0</v>
      </c>
      <c r="X22" s="39"/>
      <c r="Y22" s="39"/>
      <c r="Z22" s="39"/>
    </row>
    <row r="23" spans="1:26" ht="15" x14ac:dyDescent="0.25">
      <c r="A23" s="18"/>
      <c r="B23" s="18" t="s">
        <v>72</v>
      </c>
      <c r="C23" s="19">
        <f>Page_One!C18</f>
        <v>0</v>
      </c>
      <c r="L23" s="59" t="s">
        <v>194</v>
      </c>
      <c r="M23" s="39">
        <f>D14</f>
        <v>0</v>
      </c>
      <c r="N23" s="39"/>
      <c r="O23" s="39"/>
      <c r="P23" s="39"/>
      <c r="Q23" s="39"/>
      <c r="R23" s="39"/>
      <c r="S23" s="39"/>
      <c r="T23" s="39"/>
      <c r="U23" s="39"/>
      <c r="V23" s="39"/>
      <c r="W23" s="39"/>
      <c r="X23" s="39">
        <f>D14</f>
        <v>0</v>
      </c>
      <c r="Y23" s="39"/>
      <c r="Z23" s="39"/>
    </row>
    <row r="24" spans="1:26" ht="15" x14ac:dyDescent="0.25">
      <c r="A24" s="18"/>
      <c r="B24" s="18" t="s">
        <v>73</v>
      </c>
      <c r="C24" s="19">
        <f>Page_One!C19</f>
        <v>0</v>
      </c>
      <c r="L24" s="59" t="s">
        <v>195</v>
      </c>
      <c r="M24" s="39"/>
      <c r="N24" s="39"/>
      <c r="O24" s="39"/>
      <c r="P24" s="39"/>
      <c r="Q24" s="39"/>
      <c r="R24" s="39"/>
      <c r="S24" s="39"/>
      <c r="T24" s="39"/>
      <c r="U24" s="39"/>
      <c r="V24" s="39"/>
      <c r="W24" s="39"/>
      <c r="X24" s="39"/>
      <c r="Y24" s="39"/>
      <c r="Z24" s="39">
        <f>D15</f>
        <v>1</v>
      </c>
    </row>
    <row r="25" spans="1:26" ht="15" x14ac:dyDescent="0.25">
      <c r="A25" s="18"/>
      <c r="B25" s="20" t="s">
        <v>5</v>
      </c>
      <c r="C25" s="21">
        <f>Page_One!C20</f>
        <v>0</v>
      </c>
      <c r="L25" s="59" t="s">
        <v>196</v>
      </c>
      <c r="M25" s="39"/>
      <c r="N25" s="39"/>
      <c r="O25" s="39"/>
      <c r="P25" s="39"/>
      <c r="Q25" s="39">
        <f>D16</f>
        <v>0</v>
      </c>
      <c r="R25" s="39"/>
      <c r="S25" s="39"/>
      <c r="T25" s="39"/>
      <c r="U25" s="39"/>
      <c r="V25" s="39">
        <f>D16</f>
        <v>0</v>
      </c>
      <c r="W25" s="39"/>
      <c r="X25" s="39"/>
      <c r="Y25" s="39"/>
      <c r="Z25" s="39"/>
    </row>
    <row r="26" spans="1:26" ht="15" x14ac:dyDescent="0.25">
      <c r="A26" s="18"/>
      <c r="B26" s="32"/>
      <c r="C26" s="19"/>
      <c r="L26" s="59" t="s">
        <v>197</v>
      </c>
      <c r="M26" s="39"/>
      <c r="N26" s="39"/>
      <c r="O26" s="39"/>
      <c r="P26" s="39">
        <f>D18</f>
        <v>0</v>
      </c>
      <c r="Q26" s="39"/>
      <c r="R26" s="39"/>
      <c r="S26" s="39"/>
      <c r="T26" s="39"/>
      <c r="U26" s="39">
        <f>D18</f>
        <v>0</v>
      </c>
      <c r="V26" s="39"/>
      <c r="W26" s="39"/>
      <c r="X26" s="39"/>
      <c r="Y26" s="39"/>
      <c r="Z26" s="39"/>
    </row>
    <row r="27" spans="1:26" ht="28.5" customHeight="1" x14ac:dyDescent="0.25">
      <c r="A27" s="18"/>
      <c r="B27" s="111" t="s">
        <v>77</v>
      </c>
      <c r="C27" s="112"/>
      <c r="L27" s="59" t="s">
        <v>198</v>
      </c>
      <c r="M27" s="39"/>
      <c r="N27" s="39">
        <f>D27</f>
        <v>0</v>
      </c>
      <c r="O27" s="39"/>
      <c r="P27" s="39">
        <f>D27</f>
        <v>0</v>
      </c>
      <c r="Q27" s="39"/>
      <c r="R27" s="39"/>
      <c r="S27" s="39"/>
      <c r="T27" s="39"/>
      <c r="U27" s="39"/>
      <c r="V27" s="39"/>
      <c r="W27" s="39"/>
      <c r="X27" s="39"/>
      <c r="Y27" s="39"/>
      <c r="Z27" s="39"/>
    </row>
    <row r="28" spans="1:26" ht="15" x14ac:dyDescent="0.25">
      <c r="A28" s="18"/>
      <c r="B28" s="18" t="s">
        <v>74</v>
      </c>
      <c r="C28" s="19">
        <f>Page_One!C24</f>
        <v>0</v>
      </c>
      <c r="L28" s="60" t="s">
        <v>199</v>
      </c>
      <c r="M28" s="61">
        <f>SUM(M19:M27)</f>
        <v>1</v>
      </c>
      <c r="N28" s="61">
        <f t="shared" ref="N28:Z28" si="0">SUM(N19:N27)</f>
        <v>0</v>
      </c>
      <c r="O28" s="61">
        <f t="shared" si="0"/>
        <v>0</v>
      </c>
      <c r="P28" s="61">
        <f t="shared" si="0"/>
        <v>0</v>
      </c>
      <c r="Q28" s="61">
        <f t="shared" si="0"/>
        <v>0</v>
      </c>
      <c r="R28" s="61">
        <f t="shared" si="0"/>
        <v>0</v>
      </c>
      <c r="S28" s="61">
        <f t="shared" si="0"/>
        <v>0</v>
      </c>
      <c r="T28" s="61">
        <f t="shared" si="0"/>
        <v>0</v>
      </c>
      <c r="U28" s="61">
        <f t="shared" si="0"/>
        <v>0</v>
      </c>
      <c r="V28" s="61">
        <f t="shared" si="0"/>
        <v>0</v>
      </c>
      <c r="W28" s="61">
        <f t="shared" si="0"/>
        <v>0</v>
      </c>
      <c r="X28" s="61">
        <f t="shared" si="0"/>
        <v>1</v>
      </c>
      <c r="Y28" s="61">
        <f t="shared" si="0"/>
        <v>0</v>
      </c>
      <c r="Z28" s="61">
        <f t="shared" si="0"/>
        <v>1</v>
      </c>
    </row>
    <row r="29" spans="1:26" ht="15" x14ac:dyDescent="0.25">
      <c r="A29" s="18"/>
      <c r="B29" s="18" t="s">
        <v>6</v>
      </c>
      <c r="C29" s="19">
        <f>Page_One!C25</f>
        <v>0</v>
      </c>
      <c r="L29" s="59" t="s">
        <v>200</v>
      </c>
      <c r="M29" s="59">
        <v>1</v>
      </c>
      <c r="N29" s="59">
        <v>2</v>
      </c>
      <c r="O29" s="59">
        <v>3</v>
      </c>
      <c r="P29" s="59">
        <v>4</v>
      </c>
      <c r="Q29" s="59">
        <v>5</v>
      </c>
      <c r="R29" s="59">
        <v>6</v>
      </c>
      <c r="S29" s="59">
        <v>7</v>
      </c>
      <c r="T29" s="59">
        <v>8</v>
      </c>
      <c r="U29" s="59">
        <v>9</v>
      </c>
      <c r="V29" s="59">
        <v>10</v>
      </c>
      <c r="W29" s="59">
        <v>11</v>
      </c>
      <c r="X29" s="59">
        <v>12</v>
      </c>
      <c r="Y29" s="59">
        <v>13</v>
      </c>
      <c r="Z29" s="59">
        <v>14</v>
      </c>
    </row>
    <row r="30" spans="1:26" ht="15" x14ac:dyDescent="0.25">
      <c r="A30" s="18"/>
      <c r="B30" s="18" t="s">
        <v>75</v>
      </c>
      <c r="C30" s="19">
        <f>Page_One!C26</f>
        <v>0</v>
      </c>
      <c r="L30" s="59" t="s">
        <v>201</v>
      </c>
      <c r="M30" s="39">
        <f>D34</f>
        <v>0</v>
      </c>
      <c r="N30" s="39"/>
      <c r="O30" s="39">
        <f>D34</f>
        <v>0</v>
      </c>
      <c r="P30" s="39"/>
      <c r="Q30" s="39">
        <f>D34</f>
        <v>0</v>
      </c>
      <c r="R30" s="39"/>
      <c r="S30" s="39"/>
      <c r="T30" s="39"/>
      <c r="U30" s="39"/>
      <c r="V30" s="39"/>
      <c r="W30" s="39"/>
      <c r="X30" s="39"/>
      <c r="Y30" s="39"/>
      <c r="Z30" s="39">
        <f>D34</f>
        <v>0</v>
      </c>
    </row>
    <row r="31" spans="1:26" ht="15" x14ac:dyDescent="0.25">
      <c r="A31" s="18"/>
      <c r="B31" s="18" t="s">
        <v>7</v>
      </c>
      <c r="C31" s="19">
        <f>Page_One!C27</f>
        <v>0</v>
      </c>
      <c r="L31" s="59" t="s">
        <v>202</v>
      </c>
      <c r="M31" s="39"/>
      <c r="N31" s="39"/>
      <c r="O31" s="39"/>
      <c r="P31" s="39"/>
      <c r="Q31" s="39"/>
      <c r="R31" s="39"/>
      <c r="S31" s="39"/>
      <c r="T31" s="39"/>
      <c r="U31" s="39"/>
      <c r="V31" s="39">
        <f>C40</f>
        <v>5</v>
      </c>
      <c r="W31" s="39"/>
      <c r="X31" s="39"/>
      <c r="Y31" s="39"/>
      <c r="Z31" s="39"/>
    </row>
    <row r="32" spans="1:26" ht="15" x14ac:dyDescent="0.25">
      <c r="A32" s="20"/>
      <c r="B32" s="20" t="s">
        <v>76</v>
      </c>
      <c r="C32" s="21">
        <f>Page_One!C28</f>
        <v>0</v>
      </c>
      <c r="L32" s="59" t="s">
        <v>203</v>
      </c>
      <c r="M32" s="39"/>
      <c r="N32" s="39"/>
      <c r="O32" s="39"/>
      <c r="P32" s="39"/>
      <c r="Q32" s="39"/>
      <c r="R32" s="39"/>
      <c r="S32" s="39"/>
      <c r="T32" s="39"/>
      <c r="U32" s="39"/>
      <c r="V32" s="39"/>
      <c r="W32" s="39"/>
      <c r="X32" s="39"/>
      <c r="Y32" s="39"/>
      <c r="Z32" s="39">
        <f>C41</f>
        <v>5</v>
      </c>
    </row>
    <row r="33" spans="1:26" ht="15" x14ac:dyDescent="0.25">
      <c r="L33" s="59" t="s">
        <v>204</v>
      </c>
      <c r="M33" s="39"/>
      <c r="N33" s="39"/>
      <c r="O33" s="39"/>
      <c r="P33" s="39"/>
      <c r="Q33" s="39"/>
      <c r="R33" s="39"/>
      <c r="S33" s="39"/>
      <c r="T33" s="39"/>
      <c r="U33" s="39"/>
      <c r="V33" s="39">
        <f>C42</f>
        <v>5</v>
      </c>
      <c r="W33" s="39"/>
      <c r="X33" s="39"/>
      <c r="Y33" s="39"/>
      <c r="Z33" s="39"/>
    </row>
    <row r="34" spans="1:26" ht="28.5" customHeight="1" x14ac:dyDescent="0.25">
      <c r="A34" s="30" t="s">
        <v>144</v>
      </c>
      <c r="B34" s="111" t="s">
        <v>87</v>
      </c>
      <c r="C34" s="112"/>
      <c r="D34" s="29"/>
      <c r="E34" s="29"/>
      <c r="F34" s="29"/>
      <c r="L34" s="59" t="s">
        <v>205</v>
      </c>
      <c r="M34" s="39"/>
      <c r="N34" s="39"/>
      <c r="O34" s="39"/>
      <c r="P34" s="39"/>
      <c r="Q34" s="39"/>
      <c r="R34" s="39"/>
      <c r="S34" s="39"/>
      <c r="T34" s="39"/>
      <c r="U34" s="39"/>
      <c r="V34" s="39"/>
      <c r="W34" s="39"/>
      <c r="X34" s="39"/>
      <c r="Y34" s="39"/>
      <c r="Z34" s="39">
        <f>C43</f>
        <v>5</v>
      </c>
    </row>
    <row r="35" spans="1:26" ht="15" x14ac:dyDescent="0.25">
      <c r="A35" s="18"/>
      <c r="B35" s="18" t="s">
        <v>88</v>
      </c>
      <c r="C35" s="19">
        <f>Page_Two!C6</f>
        <v>0</v>
      </c>
      <c r="L35" s="59" t="s">
        <v>206</v>
      </c>
      <c r="M35" s="39">
        <f>C45</f>
        <v>5</v>
      </c>
      <c r="N35" s="39"/>
      <c r="O35" s="39"/>
      <c r="P35" s="39"/>
      <c r="Q35" s="39"/>
      <c r="R35" s="39"/>
      <c r="S35" s="39"/>
      <c r="T35" s="39"/>
      <c r="U35" s="39"/>
      <c r="V35" s="39"/>
      <c r="W35" s="39">
        <f>C45</f>
        <v>5</v>
      </c>
      <c r="X35" s="39">
        <f>C45</f>
        <v>5</v>
      </c>
      <c r="Y35" s="39"/>
      <c r="Z35" s="39"/>
    </row>
    <row r="36" spans="1:26" ht="15" x14ac:dyDescent="0.25">
      <c r="A36" s="18"/>
      <c r="B36" s="18" t="s">
        <v>89</v>
      </c>
      <c r="C36" s="19">
        <f>Page_Two!C7</f>
        <v>0</v>
      </c>
      <c r="L36" s="59" t="s">
        <v>207</v>
      </c>
      <c r="M36" s="39">
        <f>C47</f>
        <v>10</v>
      </c>
      <c r="N36" s="39"/>
      <c r="O36" s="39"/>
      <c r="P36" s="39"/>
      <c r="Q36" s="39"/>
      <c r="R36" s="39"/>
      <c r="S36" s="39"/>
      <c r="T36" s="39"/>
      <c r="U36" s="39"/>
      <c r="V36" s="39"/>
      <c r="W36" s="39">
        <f>C47</f>
        <v>10</v>
      </c>
      <c r="X36" s="39">
        <f>C47</f>
        <v>10</v>
      </c>
      <c r="Y36" s="39"/>
      <c r="Z36" s="39"/>
    </row>
    <row r="37" spans="1:26" ht="15" x14ac:dyDescent="0.25">
      <c r="A37" s="18"/>
      <c r="B37" s="20" t="s">
        <v>90</v>
      </c>
      <c r="C37" s="21">
        <f>Page_Two!C8</f>
        <v>0</v>
      </c>
      <c r="L37" s="59" t="s">
        <v>208</v>
      </c>
      <c r="M37" s="39"/>
      <c r="N37" s="39"/>
      <c r="O37" s="39"/>
      <c r="P37" s="39"/>
      <c r="Q37" s="39"/>
      <c r="R37" s="39"/>
      <c r="S37" s="39"/>
      <c r="T37" s="39"/>
      <c r="U37" s="39"/>
      <c r="V37" s="39"/>
      <c r="W37" s="39">
        <f>C49</f>
        <v>10</v>
      </c>
      <c r="X37" s="39"/>
      <c r="Y37" s="39"/>
      <c r="Z37" s="39">
        <f>C49</f>
        <v>10</v>
      </c>
    </row>
    <row r="38" spans="1:26" ht="15" x14ac:dyDescent="0.25">
      <c r="A38" s="18"/>
      <c r="B38" s="32"/>
      <c r="C38" s="19"/>
      <c r="L38" s="59" t="s">
        <v>209</v>
      </c>
      <c r="M38" s="39"/>
      <c r="N38" s="39"/>
      <c r="O38" s="39"/>
      <c r="P38" s="39"/>
      <c r="Q38" s="39"/>
      <c r="R38" s="39"/>
      <c r="S38" s="39"/>
      <c r="T38" s="39"/>
      <c r="U38" s="39"/>
      <c r="V38" s="39"/>
      <c r="W38" s="39"/>
      <c r="X38" s="39">
        <f>C51</f>
        <v>10</v>
      </c>
      <c r="Y38" s="39"/>
      <c r="Z38" s="39"/>
    </row>
    <row r="39" spans="1:26" ht="15" x14ac:dyDescent="0.25">
      <c r="A39" s="18"/>
      <c r="B39" s="111" t="s">
        <v>98</v>
      </c>
      <c r="C39" s="112"/>
      <c r="L39" s="62" t="s">
        <v>210</v>
      </c>
      <c r="M39" s="39"/>
      <c r="N39" s="39"/>
      <c r="O39" s="39"/>
      <c r="P39" s="39"/>
      <c r="Q39" s="39"/>
      <c r="R39" s="39"/>
      <c r="S39" s="39"/>
      <c r="T39" s="39"/>
      <c r="U39" s="39"/>
      <c r="V39" s="39"/>
      <c r="W39" s="39">
        <f>C53</f>
        <v>10</v>
      </c>
      <c r="X39" s="39"/>
      <c r="Y39" s="39"/>
      <c r="Z39" s="39"/>
    </row>
    <row r="40" spans="1:26" ht="29.25" x14ac:dyDescent="0.25">
      <c r="A40" s="18"/>
      <c r="B40" s="33" t="s">
        <v>91</v>
      </c>
      <c r="C40" s="19">
        <v>5</v>
      </c>
      <c r="D40" t="s">
        <v>147</v>
      </c>
      <c r="L40" s="62" t="s">
        <v>188</v>
      </c>
      <c r="M40" s="39"/>
      <c r="N40" s="39"/>
      <c r="O40" s="39"/>
      <c r="P40" s="39"/>
      <c r="Q40" s="39"/>
      <c r="R40" s="39"/>
      <c r="S40" s="39"/>
      <c r="T40" s="39"/>
      <c r="U40" s="39"/>
      <c r="V40" s="39"/>
      <c r="W40" s="39">
        <f>C55</f>
        <v>5</v>
      </c>
      <c r="X40" s="39">
        <f>C55</f>
        <v>5</v>
      </c>
      <c r="Y40" s="39">
        <f>C55</f>
        <v>5</v>
      </c>
      <c r="Z40" s="39"/>
    </row>
    <row r="41" spans="1:26" ht="29.25" x14ac:dyDescent="0.25">
      <c r="A41" s="18"/>
      <c r="B41" s="33" t="s">
        <v>92</v>
      </c>
      <c r="C41" s="19">
        <v>5</v>
      </c>
      <c r="D41" t="s">
        <v>148</v>
      </c>
      <c r="L41" s="60" t="s">
        <v>211</v>
      </c>
      <c r="M41" s="61">
        <f>SUM(M30:M40)</f>
        <v>15</v>
      </c>
      <c r="N41" s="61">
        <f t="shared" ref="N41:Z41" si="1">SUM(N30:N40)</f>
        <v>0</v>
      </c>
      <c r="O41" s="61">
        <f t="shared" si="1"/>
        <v>0</v>
      </c>
      <c r="P41" s="61">
        <f t="shared" si="1"/>
        <v>0</v>
      </c>
      <c r="Q41" s="61">
        <f t="shared" si="1"/>
        <v>0</v>
      </c>
      <c r="R41" s="61">
        <f t="shared" si="1"/>
        <v>0</v>
      </c>
      <c r="S41" s="61">
        <f t="shared" si="1"/>
        <v>0</v>
      </c>
      <c r="T41" s="61">
        <f t="shared" si="1"/>
        <v>0</v>
      </c>
      <c r="U41" s="61">
        <f t="shared" si="1"/>
        <v>0</v>
      </c>
      <c r="V41" s="61">
        <f t="shared" si="1"/>
        <v>10</v>
      </c>
      <c r="W41" s="61">
        <f t="shared" si="1"/>
        <v>40</v>
      </c>
      <c r="X41" s="61">
        <f t="shared" si="1"/>
        <v>30</v>
      </c>
      <c r="Y41" s="61">
        <f t="shared" si="1"/>
        <v>5</v>
      </c>
      <c r="Z41" s="61">
        <f t="shared" si="1"/>
        <v>20</v>
      </c>
    </row>
    <row r="42" spans="1:26" ht="29.25" x14ac:dyDescent="0.25">
      <c r="A42" s="18"/>
      <c r="B42" s="33" t="s">
        <v>93</v>
      </c>
      <c r="C42" s="19">
        <v>5</v>
      </c>
      <c r="D42" t="s">
        <v>149</v>
      </c>
      <c r="L42" s="59" t="s">
        <v>212</v>
      </c>
      <c r="M42" s="59">
        <v>1</v>
      </c>
      <c r="N42" s="59">
        <v>2</v>
      </c>
      <c r="O42" s="59">
        <v>3</v>
      </c>
      <c r="P42" s="59">
        <v>4</v>
      </c>
      <c r="Q42" s="59">
        <v>5</v>
      </c>
      <c r="R42" s="59">
        <v>6</v>
      </c>
      <c r="S42" s="59">
        <v>7</v>
      </c>
      <c r="T42" s="59">
        <v>8</v>
      </c>
      <c r="U42" s="59">
        <v>9</v>
      </c>
      <c r="V42" s="59">
        <v>10</v>
      </c>
      <c r="W42" s="59">
        <v>11</v>
      </c>
      <c r="X42" s="59">
        <v>12</v>
      </c>
      <c r="Y42" s="59">
        <v>13</v>
      </c>
      <c r="Z42" s="59">
        <v>14</v>
      </c>
    </row>
    <row r="43" spans="1:26" ht="29.25" x14ac:dyDescent="0.25">
      <c r="A43" s="18"/>
      <c r="B43" s="34" t="s">
        <v>94</v>
      </c>
      <c r="C43" s="21">
        <v>5</v>
      </c>
      <c r="D43" t="s">
        <v>150</v>
      </c>
      <c r="L43" s="59" t="s">
        <v>213</v>
      </c>
      <c r="M43" s="39"/>
      <c r="N43" s="39"/>
      <c r="O43" s="39">
        <f>C58</f>
        <v>0</v>
      </c>
      <c r="P43" s="39"/>
      <c r="Q43" s="39"/>
      <c r="R43" s="39"/>
      <c r="S43" s="39"/>
      <c r="T43" s="39"/>
      <c r="U43" s="39"/>
      <c r="V43" s="39"/>
      <c r="W43" s="39"/>
      <c r="X43" s="39"/>
      <c r="Y43" s="39"/>
      <c r="Z43" s="39"/>
    </row>
    <row r="44" spans="1:26" ht="15" x14ac:dyDescent="0.25">
      <c r="A44" s="18"/>
      <c r="B44" s="32"/>
      <c r="C44" s="19"/>
      <c r="L44" s="59" t="s">
        <v>214</v>
      </c>
      <c r="M44" s="39"/>
      <c r="N44" s="39"/>
      <c r="O44" s="39"/>
      <c r="P44" s="39"/>
      <c r="Q44" s="39">
        <f>C59</f>
        <v>0</v>
      </c>
      <c r="R44" s="39"/>
      <c r="S44" s="39"/>
      <c r="T44" s="39"/>
      <c r="U44" s="39"/>
      <c r="V44" s="39"/>
      <c r="W44" s="39"/>
      <c r="X44" s="39"/>
      <c r="Y44" s="39"/>
      <c r="Z44" s="39"/>
    </row>
    <row r="45" spans="1:26" ht="29.25" customHeight="1" x14ac:dyDescent="0.25">
      <c r="A45" s="18"/>
      <c r="B45" s="35" t="s">
        <v>99</v>
      </c>
      <c r="C45" s="36">
        <v>5</v>
      </c>
      <c r="D45" t="s">
        <v>151</v>
      </c>
      <c r="L45" s="59" t="s">
        <v>215</v>
      </c>
      <c r="M45" s="39"/>
      <c r="N45" s="39"/>
      <c r="O45" s="39"/>
      <c r="P45" s="39">
        <f>C60</f>
        <v>0</v>
      </c>
      <c r="Q45" s="39"/>
      <c r="R45" s="39"/>
      <c r="S45" s="39"/>
      <c r="T45" s="39"/>
      <c r="U45" s="39"/>
      <c r="V45" s="39"/>
      <c r="W45" s="39"/>
      <c r="X45" s="39"/>
      <c r="Y45" s="39"/>
      <c r="Z45" s="39"/>
    </row>
    <row r="46" spans="1:26" ht="15" x14ac:dyDescent="0.25">
      <c r="A46" s="18"/>
      <c r="B46" s="32"/>
      <c r="C46" s="19"/>
      <c r="L46" s="59" t="s">
        <v>216</v>
      </c>
      <c r="M46" s="39"/>
      <c r="N46" s="39"/>
      <c r="O46" s="39"/>
      <c r="P46" s="39"/>
      <c r="Q46" s="39"/>
      <c r="R46" s="39">
        <f>C61</f>
        <v>0</v>
      </c>
      <c r="S46" s="39"/>
      <c r="T46" s="39"/>
      <c r="U46" s="39"/>
      <c r="V46" s="39"/>
      <c r="W46" s="39"/>
      <c r="X46" s="39"/>
      <c r="Y46" s="39"/>
      <c r="Z46" s="39"/>
    </row>
    <row r="47" spans="1:26" ht="29.25" x14ac:dyDescent="0.25">
      <c r="A47" s="18"/>
      <c r="B47" s="35" t="s">
        <v>101</v>
      </c>
      <c r="C47" s="37">
        <v>10</v>
      </c>
      <c r="D47" t="s">
        <v>152</v>
      </c>
      <c r="L47" s="59" t="s">
        <v>217</v>
      </c>
      <c r="M47" s="39"/>
      <c r="N47" s="39"/>
      <c r="O47" s="39"/>
      <c r="P47" s="39"/>
      <c r="Q47" s="39"/>
      <c r="R47" s="39"/>
      <c r="S47" s="39">
        <f>C62</f>
        <v>0</v>
      </c>
      <c r="T47" s="39"/>
      <c r="U47" s="39"/>
      <c r="V47" s="39"/>
      <c r="W47" s="39"/>
      <c r="X47" s="39"/>
      <c r="Y47" s="39"/>
      <c r="Z47" s="39"/>
    </row>
    <row r="48" spans="1:26" ht="15" x14ac:dyDescent="0.25">
      <c r="A48" s="18"/>
      <c r="B48" s="32"/>
      <c r="C48" s="19"/>
      <c r="L48" s="59" t="s">
        <v>218</v>
      </c>
      <c r="M48" s="39"/>
      <c r="N48" s="39">
        <f>C63</f>
        <v>0</v>
      </c>
      <c r="O48" s="39"/>
      <c r="P48" s="39"/>
      <c r="Q48" s="39"/>
      <c r="R48" s="39"/>
      <c r="S48" s="39"/>
      <c r="T48" s="39"/>
      <c r="U48" s="39"/>
      <c r="V48" s="39"/>
      <c r="W48" s="39"/>
      <c r="X48" s="39"/>
      <c r="Y48" s="39"/>
      <c r="Z48" s="39"/>
    </row>
    <row r="49" spans="1:26" ht="29.25" x14ac:dyDescent="0.25">
      <c r="A49" s="18"/>
      <c r="B49" s="35" t="s">
        <v>103</v>
      </c>
      <c r="C49" s="37">
        <v>10</v>
      </c>
      <c r="D49" t="s">
        <v>153</v>
      </c>
      <c r="L49" s="59" t="s">
        <v>219</v>
      </c>
      <c r="M49" s="39"/>
      <c r="N49" s="39"/>
      <c r="O49" s="39"/>
      <c r="P49" s="39"/>
      <c r="Q49" s="39"/>
      <c r="R49" s="39"/>
      <c r="S49" s="39"/>
      <c r="T49" s="39"/>
      <c r="U49" s="39">
        <f>C64</f>
        <v>0</v>
      </c>
      <c r="V49" s="39"/>
      <c r="W49" s="39"/>
      <c r="X49" s="39"/>
      <c r="Y49" s="39"/>
      <c r="Z49" s="39"/>
    </row>
    <row r="50" spans="1:26" ht="15" x14ac:dyDescent="0.25">
      <c r="A50" s="18"/>
      <c r="B50" s="32"/>
      <c r="C50" s="19"/>
      <c r="L50" s="59" t="s">
        <v>220</v>
      </c>
      <c r="M50" s="39"/>
      <c r="N50" s="39"/>
      <c r="O50" s="39"/>
      <c r="P50" s="39"/>
      <c r="Q50" s="39"/>
      <c r="R50" s="39"/>
      <c r="S50" s="39"/>
      <c r="T50" s="39">
        <f>C65</f>
        <v>0</v>
      </c>
      <c r="U50" s="39"/>
      <c r="V50" s="39"/>
      <c r="W50" s="39"/>
      <c r="X50" s="39"/>
      <c r="Y50" s="39"/>
      <c r="Z50" s="39"/>
    </row>
    <row r="51" spans="1:26" ht="15" x14ac:dyDescent="0.25">
      <c r="A51" s="18"/>
      <c r="B51" s="38" t="s">
        <v>104</v>
      </c>
      <c r="C51" s="37">
        <v>10</v>
      </c>
      <c r="D51" t="s">
        <v>154</v>
      </c>
      <c r="L51" s="59" t="s">
        <v>221</v>
      </c>
      <c r="M51" s="39"/>
      <c r="N51" s="39"/>
      <c r="O51" s="39"/>
      <c r="P51" s="39"/>
      <c r="Q51" s="39"/>
      <c r="R51" s="39"/>
      <c r="S51" s="39"/>
      <c r="T51" s="39"/>
      <c r="U51" s="39"/>
      <c r="V51" s="39">
        <f>C66</f>
        <v>0</v>
      </c>
      <c r="W51" s="39"/>
      <c r="X51" s="39"/>
      <c r="Y51" s="39"/>
      <c r="Z51" s="39"/>
    </row>
    <row r="52" spans="1:26" ht="15" x14ac:dyDescent="0.25">
      <c r="A52" s="18"/>
      <c r="B52" s="32"/>
      <c r="C52" s="19"/>
      <c r="L52" s="62" t="s">
        <v>222</v>
      </c>
      <c r="M52" s="39"/>
      <c r="N52" s="39"/>
      <c r="O52" s="39"/>
      <c r="P52" s="39"/>
      <c r="Q52" s="39"/>
      <c r="R52" s="39"/>
      <c r="S52" s="39"/>
      <c r="T52" s="39"/>
      <c r="U52" s="39"/>
      <c r="V52" s="39">
        <f>C67</f>
        <v>0</v>
      </c>
      <c r="W52" s="39"/>
      <c r="X52" s="39"/>
      <c r="Y52" s="39"/>
      <c r="Z52" s="39"/>
    </row>
    <row r="53" spans="1:26" ht="29.25" x14ac:dyDescent="0.25">
      <c r="A53" s="18"/>
      <c r="B53" s="35" t="s">
        <v>108</v>
      </c>
      <c r="C53" s="37">
        <v>10</v>
      </c>
      <c r="D53" t="s">
        <v>155</v>
      </c>
      <c r="L53" s="62" t="s">
        <v>223</v>
      </c>
      <c r="M53" s="39"/>
      <c r="N53" s="39"/>
      <c r="O53" s="39"/>
      <c r="P53" s="39"/>
      <c r="Q53" s="39"/>
      <c r="R53" s="39"/>
      <c r="S53" s="39"/>
      <c r="T53" s="39">
        <f>C70</f>
        <v>10</v>
      </c>
      <c r="U53" s="39"/>
      <c r="V53" s="39"/>
      <c r="W53" s="39"/>
      <c r="X53" s="39"/>
      <c r="Y53" s="39"/>
      <c r="Z53" s="39"/>
    </row>
    <row r="54" spans="1:26" ht="15" x14ac:dyDescent="0.25">
      <c r="A54" s="18"/>
      <c r="B54" s="32"/>
      <c r="C54" s="19"/>
      <c r="L54" s="62" t="s">
        <v>224</v>
      </c>
      <c r="M54" s="39"/>
      <c r="N54" s="39"/>
      <c r="O54" s="39">
        <f>C71</f>
        <v>5</v>
      </c>
      <c r="P54" s="39"/>
      <c r="Q54" s="39"/>
      <c r="R54" s="39"/>
      <c r="S54" s="39"/>
      <c r="T54" s="39"/>
      <c r="U54" s="39"/>
      <c r="V54" s="39"/>
      <c r="W54" s="39"/>
      <c r="X54" s="39"/>
      <c r="Y54" s="39"/>
      <c r="Z54" s="39"/>
    </row>
    <row r="55" spans="1:26" ht="29.25" x14ac:dyDescent="0.25">
      <c r="A55" s="20"/>
      <c r="B55" s="35" t="s">
        <v>113</v>
      </c>
      <c r="C55" s="37">
        <v>5</v>
      </c>
      <c r="D55" t="s">
        <v>156</v>
      </c>
      <c r="L55" s="62" t="s">
        <v>225</v>
      </c>
      <c r="M55" s="39">
        <f>C72</f>
        <v>10</v>
      </c>
      <c r="N55" s="39"/>
      <c r="O55" s="39"/>
      <c r="P55" s="39"/>
      <c r="Q55" s="39"/>
      <c r="R55" s="39"/>
      <c r="S55" s="39"/>
      <c r="T55" s="39"/>
      <c r="U55" s="39"/>
      <c r="V55" s="39"/>
      <c r="W55" s="39"/>
      <c r="X55" s="39"/>
      <c r="Y55" s="39"/>
      <c r="Z55" s="39"/>
    </row>
    <row r="56" spans="1:26" ht="15" x14ac:dyDescent="0.25">
      <c r="L56" s="62" t="s">
        <v>226</v>
      </c>
      <c r="M56" s="39"/>
      <c r="N56" s="39"/>
      <c r="O56" s="39"/>
      <c r="P56" s="39"/>
      <c r="Q56" s="39"/>
      <c r="R56" s="39">
        <f>C73</f>
        <v>1</v>
      </c>
      <c r="S56" s="39"/>
      <c r="T56" s="39"/>
      <c r="U56" s="39"/>
      <c r="V56" s="39"/>
      <c r="W56" s="39"/>
      <c r="X56" s="39"/>
      <c r="Y56" s="39"/>
      <c r="Z56" s="39"/>
    </row>
    <row r="57" spans="1:26" ht="15" x14ac:dyDescent="0.25">
      <c r="A57" s="30" t="s">
        <v>145</v>
      </c>
      <c r="B57" s="111" t="s">
        <v>146</v>
      </c>
      <c r="C57" s="112"/>
      <c r="L57" s="62" t="s">
        <v>227</v>
      </c>
      <c r="M57" s="39"/>
      <c r="N57" s="39"/>
      <c r="O57" s="39"/>
      <c r="P57" s="39"/>
      <c r="Q57" s="39"/>
      <c r="R57" s="39"/>
      <c r="S57" s="39">
        <f>C74</f>
        <v>5</v>
      </c>
      <c r="T57" s="39"/>
      <c r="U57" s="39"/>
      <c r="V57" s="39"/>
      <c r="W57" s="39"/>
      <c r="X57" s="39"/>
      <c r="Y57" s="39"/>
      <c r="Z57" s="39"/>
    </row>
    <row r="58" spans="1:26" ht="15" x14ac:dyDescent="0.25">
      <c r="A58" s="18"/>
      <c r="B58" s="18" t="s">
        <v>123</v>
      </c>
      <c r="C58" s="19">
        <f>Page_Three!F6</f>
        <v>0</v>
      </c>
      <c r="F58">
        <v>3</v>
      </c>
      <c r="L58" s="62" t="s">
        <v>228</v>
      </c>
      <c r="M58" s="39">
        <f>C75</f>
        <v>10</v>
      </c>
      <c r="N58" s="39"/>
      <c r="O58" s="39"/>
      <c r="P58" s="39"/>
      <c r="Q58" s="39"/>
      <c r="R58" s="39"/>
      <c r="S58" s="39"/>
      <c r="T58" s="39"/>
      <c r="U58" s="39"/>
      <c r="V58" s="39"/>
      <c r="W58" s="39"/>
      <c r="X58" s="39"/>
      <c r="Y58" s="39"/>
      <c r="Z58" s="39"/>
    </row>
    <row r="59" spans="1:26" ht="15" x14ac:dyDescent="0.25">
      <c r="A59" s="18"/>
      <c r="B59" s="18" t="s">
        <v>124</v>
      </c>
      <c r="C59" s="19">
        <f>Page_Three!F7</f>
        <v>0</v>
      </c>
      <c r="F59">
        <v>5</v>
      </c>
      <c r="L59" s="62" t="s">
        <v>229</v>
      </c>
      <c r="M59" s="39"/>
      <c r="N59" s="39"/>
      <c r="O59" s="39"/>
      <c r="P59" s="39"/>
      <c r="Q59" s="39"/>
      <c r="R59" s="39"/>
      <c r="S59" s="39"/>
      <c r="T59" s="39"/>
      <c r="U59" s="39">
        <f>C76</f>
        <v>10</v>
      </c>
      <c r="V59" s="39"/>
      <c r="W59" s="39"/>
      <c r="X59" s="39"/>
      <c r="Y59" s="39"/>
      <c r="Z59" s="39"/>
    </row>
    <row r="60" spans="1:26" ht="15" x14ac:dyDescent="0.25">
      <c r="A60" s="18"/>
      <c r="B60" s="18" t="s">
        <v>125</v>
      </c>
      <c r="C60" s="19">
        <f>Page_Three!F8</f>
        <v>0</v>
      </c>
      <c r="F60">
        <v>4</v>
      </c>
      <c r="L60" s="62" t="s">
        <v>230</v>
      </c>
      <c r="M60" s="39"/>
      <c r="N60" s="39"/>
      <c r="O60" s="39"/>
      <c r="P60" s="39"/>
      <c r="Q60" s="39"/>
      <c r="R60" s="39"/>
      <c r="S60" s="39"/>
      <c r="T60" s="39"/>
      <c r="U60" s="39"/>
      <c r="V60" s="39">
        <f>C77</f>
        <v>1</v>
      </c>
      <c r="W60" s="39"/>
      <c r="X60" s="39"/>
      <c r="Y60" s="39"/>
      <c r="Z60" s="39"/>
    </row>
    <row r="61" spans="1:26" ht="15" x14ac:dyDescent="0.25">
      <c r="A61" s="18"/>
      <c r="B61" s="18" t="s">
        <v>126</v>
      </c>
      <c r="C61" s="19">
        <f>Page_Three!F9</f>
        <v>0</v>
      </c>
      <c r="F61">
        <v>6</v>
      </c>
      <c r="L61" s="62" t="s">
        <v>232</v>
      </c>
      <c r="M61" s="39"/>
      <c r="N61" s="39"/>
      <c r="O61" s="39"/>
      <c r="P61" s="39"/>
      <c r="Q61" s="39"/>
      <c r="R61" s="39"/>
      <c r="S61" s="39"/>
      <c r="T61" s="39"/>
      <c r="U61" s="39"/>
      <c r="V61" s="39"/>
      <c r="W61" s="39"/>
      <c r="X61" s="39"/>
      <c r="Y61" s="39"/>
      <c r="Z61" s="39">
        <f>C78</f>
        <v>10</v>
      </c>
    </row>
    <row r="62" spans="1:26" ht="15" x14ac:dyDescent="0.25">
      <c r="A62" s="18"/>
      <c r="B62" s="18" t="s">
        <v>127</v>
      </c>
      <c r="C62" s="19">
        <f>Page_Three!F10</f>
        <v>0</v>
      </c>
      <c r="F62">
        <v>7</v>
      </c>
      <c r="L62" s="61" t="s">
        <v>231</v>
      </c>
      <c r="M62" s="61">
        <f>SUM(M43:M61)</f>
        <v>20</v>
      </c>
      <c r="N62" s="61">
        <f t="shared" ref="N62:Z62" si="2">SUM(N43:N61)</f>
        <v>0</v>
      </c>
      <c r="O62" s="61">
        <f t="shared" si="2"/>
        <v>5</v>
      </c>
      <c r="P62" s="61">
        <f t="shared" si="2"/>
        <v>0</v>
      </c>
      <c r="Q62" s="61">
        <f t="shared" si="2"/>
        <v>0</v>
      </c>
      <c r="R62" s="61">
        <f t="shared" si="2"/>
        <v>1</v>
      </c>
      <c r="S62" s="61">
        <f t="shared" si="2"/>
        <v>5</v>
      </c>
      <c r="T62" s="61">
        <f t="shared" si="2"/>
        <v>10</v>
      </c>
      <c r="U62" s="61">
        <f t="shared" si="2"/>
        <v>10</v>
      </c>
      <c r="V62" s="61">
        <f t="shared" si="2"/>
        <v>1</v>
      </c>
      <c r="W62" s="61">
        <f t="shared" si="2"/>
        <v>0</v>
      </c>
      <c r="X62" s="61">
        <f t="shared" si="2"/>
        <v>0</v>
      </c>
      <c r="Y62" s="61">
        <f t="shared" si="2"/>
        <v>0</v>
      </c>
      <c r="Z62" s="61">
        <f t="shared" si="2"/>
        <v>10</v>
      </c>
    </row>
    <row r="63" spans="1:26" x14ac:dyDescent="0.2">
      <c r="A63" s="18"/>
      <c r="B63" s="18" t="s">
        <v>128</v>
      </c>
      <c r="C63" s="19">
        <f>Page_Three!F11</f>
        <v>0</v>
      </c>
      <c r="F63">
        <v>2</v>
      </c>
    </row>
    <row r="64" spans="1:26" x14ac:dyDescent="0.2">
      <c r="A64" s="18"/>
      <c r="B64" s="18" t="s">
        <v>130</v>
      </c>
      <c r="C64" s="19">
        <f>Page_Three!F12</f>
        <v>0</v>
      </c>
      <c r="F64">
        <v>9</v>
      </c>
    </row>
    <row r="65" spans="1:24" x14ac:dyDescent="0.2">
      <c r="A65" s="18"/>
      <c r="B65" s="18" t="s">
        <v>129</v>
      </c>
      <c r="C65" s="19">
        <f>Page_Three!F13</f>
        <v>0</v>
      </c>
      <c r="F65">
        <v>8</v>
      </c>
    </row>
    <row r="66" spans="1:24" x14ac:dyDescent="0.2">
      <c r="A66" s="18"/>
      <c r="B66" s="18" t="s">
        <v>131</v>
      </c>
      <c r="C66" s="19">
        <f>Page_Three!F14</f>
        <v>0</v>
      </c>
      <c r="F66">
        <v>10</v>
      </c>
    </row>
    <row r="67" spans="1:24" x14ac:dyDescent="0.2">
      <c r="A67" s="18"/>
      <c r="B67" s="20" t="s">
        <v>132</v>
      </c>
      <c r="C67" s="21">
        <f>Page_Three!F15</f>
        <v>0</v>
      </c>
      <c r="F67">
        <v>10</v>
      </c>
    </row>
    <row r="68" spans="1:24" ht="15" x14ac:dyDescent="0.25">
      <c r="A68" s="18"/>
      <c r="B68" s="32"/>
      <c r="C68" s="19"/>
      <c r="O68" s="61" t="s">
        <v>250</v>
      </c>
      <c r="Q68">
        <v>-10</v>
      </c>
      <c r="R68">
        <v>2</v>
      </c>
      <c r="S68">
        <v>5</v>
      </c>
      <c r="T68">
        <v>10</v>
      </c>
    </row>
    <row r="69" spans="1:24" ht="28.5" customHeight="1" x14ac:dyDescent="0.2">
      <c r="A69" s="18"/>
      <c r="B69" s="111" t="s">
        <v>142</v>
      </c>
      <c r="C69" s="112"/>
      <c r="O69" t="s">
        <v>235</v>
      </c>
      <c r="P69" t="s">
        <v>236</v>
      </c>
      <c r="Q69" t="s">
        <v>34</v>
      </c>
      <c r="R69" t="s">
        <v>25</v>
      </c>
      <c r="S69" t="s">
        <v>28</v>
      </c>
      <c r="T69" t="s">
        <v>31</v>
      </c>
      <c r="U69" t="s">
        <v>240</v>
      </c>
      <c r="V69" t="s">
        <v>237</v>
      </c>
      <c r="W69" t="s">
        <v>238</v>
      </c>
      <c r="X69" t="s">
        <v>239</v>
      </c>
    </row>
    <row r="70" spans="1:24" x14ac:dyDescent="0.2">
      <c r="A70" s="18"/>
      <c r="B70" s="18" t="s">
        <v>135</v>
      </c>
      <c r="C70" s="19">
        <v>10</v>
      </c>
      <c r="D70" t="s">
        <v>158</v>
      </c>
      <c r="F70">
        <v>8</v>
      </c>
      <c r="O70">
        <v>1</v>
      </c>
      <c r="P70">
        <v>8</v>
      </c>
      <c r="Q70">
        <v>-80</v>
      </c>
      <c r="R70">
        <v>16</v>
      </c>
      <c r="S70">
        <v>40</v>
      </c>
      <c r="T70">
        <v>80</v>
      </c>
      <c r="U70" s="64" t="s">
        <v>241</v>
      </c>
      <c r="V70" s="64" t="s">
        <v>251</v>
      </c>
      <c r="W70" s="64" t="s">
        <v>252</v>
      </c>
      <c r="X70" s="64" t="s">
        <v>253</v>
      </c>
    </row>
    <row r="71" spans="1:24" x14ac:dyDescent="0.2">
      <c r="A71" s="18"/>
      <c r="B71" s="18" t="s">
        <v>136</v>
      </c>
      <c r="C71" s="19">
        <v>5</v>
      </c>
      <c r="D71" t="s">
        <v>160</v>
      </c>
      <c r="F71">
        <v>3</v>
      </c>
      <c r="O71">
        <v>2</v>
      </c>
      <c r="P71">
        <v>3</v>
      </c>
      <c r="Q71">
        <v>-30</v>
      </c>
      <c r="R71">
        <v>6</v>
      </c>
      <c r="S71">
        <v>15</v>
      </c>
      <c r="T71">
        <v>30</v>
      </c>
      <c r="U71" s="64" t="s">
        <v>241</v>
      </c>
      <c r="V71" s="64" t="s">
        <v>242</v>
      </c>
      <c r="W71" s="65" t="s">
        <v>243</v>
      </c>
      <c r="X71" s="64" t="s">
        <v>248</v>
      </c>
    </row>
    <row r="72" spans="1:24" x14ac:dyDescent="0.2">
      <c r="A72" s="18"/>
      <c r="B72" s="18" t="s">
        <v>157</v>
      </c>
      <c r="C72" s="19">
        <v>10</v>
      </c>
      <c r="D72" t="s">
        <v>163</v>
      </c>
      <c r="F72">
        <v>1</v>
      </c>
      <c r="O72">
        <v>3</v>
      </c>
      <c r="P72">
        <v>5</v>
      </c>
      <c r="Q72">
        <v>-50</v>
      </c>
      <c r="R72">
        <v>10</v>
      </c>
      <c r="S72">
        <v>25</v>
      </c>
      <c r="T72">
        <v>50</v>
      </c>
      <c r="U72" s="64" t="s">
        <v>241</v>
      </c>
      <c r="V72" s="64" t="s">
        <v>254</v>
      </c>
      <c r="W72" s="66" t="s">
        <v>255</v>
      </c>
      <c r="X72" s="64" t="s">
        <v>256</v>
      </c>
    </row>
    <row r="73" spans="1:24" x14ac:dyDescent="0.2">
      <c r="A73" s="18"/>
      <c r="B73" s="18" t="s">
        <v>19</v>
      </c>
      <c r="C73" s="19">
        <v>1</v>
      </c>
      <c r="D73" t="s">
        <v>159</v>
      </c>
      <c r="F73">
        <v>6</v>
      </c>
      <c r="O73">
        <v>4</v>
      </c>
      <c r="P73">
        <v>5</v>
      </c>
      <c r="Q73">
        <v>-50</v>
      </c>
      <c r="R73">
        <v>10</v>
      </c>
      <c r="S73">
        <v>25</v>
      </c>
      <c r="T73">
        <v>50</v>
      </c>
      <c r="U73" s="64" t="s">
        <v>241</v>
      </c>
      <c r="V73" s="64" t="s">
        <v>254</v>
      </c>
      <c r="W73" s="66" t="s">
        <v>255</v>
      </c>
      <c r="X73" s="64" t="s">
        <v>256</v>
      </c>
    </row>
    <row r="74" spans="1:24" x14ac:dyDescent="0.2">
      <c r="A74" s="18"/>
      <c r="B74" s="18" t="s">
        <v>137</v>
      </c>
      <c r="C74" s="19">
        <v>5</v>
      </c>
      <c r="D74" t="s">
        <v>161</v>
      </c>
      <c r="F74">
        <v>7</v>
      </c>
      <c r="O74">
        <v>5</v>
      </c>
      <c r="P74">
        <v>4</v>
      </c>
      <c r="Q74">
        <v>-40</v>
      </c>
      <c r="R74">
        <v>8</v>
      </c>
      <c r="S74">
        <v>20</v>
      </c>
      <c r="T74">
        <v>40</v>
      </c>
      <c r="U74" s="64" t="s">
        <v>241</v>
      </c>
      <c r="V74" s="64" t="s">
        <v>247</v>
      </c>
      <c r="W74" s="66" t="s">
        <v>257</v>
      </c>
      <c r="X74" s="64" t="s">
        <v>256</v>
      </c>
    </row>
    <row r="75" spans="1:24" x14ac:dyDescent="0.2">
      <c r="A75" s="18"/>
      <c r="B75" s="18" t="s">
        <v>138</v>
      </c>
      <c r="C75" s="19">
        <v>10</v>
      </c>
      <c r="D75" t="s">
        <v>164</v>
      </c>
      <c r="F75">
        <v>1</v>
      </c>
      <c r="O75">
        <v>6</v>
      </c>
      <c r="P75">
        <v>4</v>
      </c>
      <c r="Q75">
        <v>-40</v>
      </c>
      <c r="R75">
        <v>8</v>
      </c>
      <c r="S75">
        <v>20</v>
      </c>
      <c r="T75">
        <v>40</v>
      </c>
      <c r="U75" s="64" t="s">
        <v>241</v>
      </c>
      <c r="V75" s="64" t="s">
        <v>247</v>
      </c>
      <c r="W75" s="66" t="s">
        <v>257</v>
      </c>
      <c r="X75" s="64" t="s">
        <v>256</v>
      </c>
    </row>
    <row r="76" spans="1:24" x14ac:dyDescent="0.2">
      <c r="A76" s="18"/>
      <c r="B76" s="18" t="s">
        <v>20</v>
      </c>
      <c r="C76" s="19">
        <v>10</v>
      </c>
      <c r="D76" t="s">
        <v>162</v>
      </c>
      <c r="F76">
        <v>9</v>
      </c>
      <c r="O76">
        <v>7</v>
      </c>
      <c r="P76">
        <v>4</v>
      </c>
      <c r="Q76">
        <v>-40</v>
      </c>
      <c r="R76">
        <v>8</v>
      </c>
      <c r="S76">
        <v>20</v>
      </c>
      <c r="T76">
        <v>40</v>
      </c>
      <c r="U76" s="64" t="s">
        <v>241</v>
      </c>
      <c r="V76" s="64" t="s">
        <v>247</v>
      </c>
      <c r="W76" s="66" t="s">
        <v>257</v>
      </c>
      <c r="X76" s="64" t="s">
        <v>256</v>
      </c>
    </row>
    <row r="77" spans="1:24" x14ac:dyDescent="0.2">
      <c r="A77" s="18"/>
      <c r="B77" s="18" t="s">
        <v>139</v>
      </c>
      <c r="C77" s="19">
        <v>1</v>
      </c>
      <c r="D77" t="s">
        <v>165</v>
      </c>
      <c r="F77">
        <v>10</v>
      </c>
      <c r="O77">
        <v>8</v>
      </c>
      <c r="P77">
        <v>4</v>
      </c>
      <c r="Q77">
        <v>-40</v>
      </c>
      <c r="R77">
        <v>8</v>
      </c>
      <c r="S77">
        <v>20</v>
      </c>
      <c r="T77">
        <v>40</v>
      </c>
      <c r="U77" s="64" t="s">
        <v>241</v>
      </c>
      <c r="V77" s="64" t="s">
        <v>247</v>
      </c>
      <c r="W77" s="66" t="s">
        <v>257</v>
      </c>
      <c r="X77" s="64" t="s">
        <v>256</v>
      </c>
    </row>
    <row r="78" spans="1:24" x14ac:dyDescent="0.2">
      <c r="A78" s="21"/>
      <c r="B78" s="57" t="s">
        <v>186</v>
      </c>
      <c r="C78" s="21">
        <v>10</v>
      </c>
      <c r="D78" t="s">
        <v>187</v>
      </c>
      <c r="E78">
        <v>14</v>
      </c>
      <c r="O78">
        <v>9</v>
      </c>
      <c r="P78">
        <v>5</v>
      </c>
      <c r="Q78">
        <v>-50</v>
      </c>
      <c r="R78">
        <v>10</v>
      </c>
      <c r="S78">
        <v>25</v>
      </c>
      <c r="T78">
        <v>50</v>
      </c>
      <c r="U78" s="64" t="s">
        <v>241</v>
      </c>
      <c r="V78" s="64" t="s">
        <v>254</v>
      </c>
      <c r="W78" s="67" t="s">
        <v>255</v>
      </c>
      <c r="X78" s="64" t="s">
        <v>256</v>
      </c>
    </row>
    <row r="79" spans="1:24" x14ac:dyDescent="0.2">
      <c r="O79">
        <v>10</v>
      </c>
      <c r="P79">
        <v>8</v>
      </c>
      <c r="Q79">
        <v>-80</v>
      </c>
      <c r="R79">
        <v>16</v>
      </c>
      <c r="S79">
        <v>40</v>
      </c>
      <c r="T79">
        <v>80</v>
      </c>
      <c r="U79" s="64" t="s">
        <v>241</v>
      </c>
      <c r="V79" s="64" t="s">
        <v>246</v>
      </c>
      <c r="W79" s="67" t="s">
        <v>258</v>
      </c>
      <c r="X79" s="64" t="s">
        <v>249</v>
      </c>
    </row>
    <row r="80" spans="1:24" x14ac:dyDescent="0.2">
      <c r="O80">
        <v>11</v>
      </c>
      <c r="P80">
        <v>8</v>
      </c>
      <c r="Q80">
        <v>-80</v>
      </c>
      <c r="R80">
        <v>16</v>
      </c>
      <c r="S80">
        <v>40</v>
      </c>
      <c r="T80">
        <v>80</v>
      </c>
      <c r="U80" s="64" t="s">
        <v>241</v>
      </c>
      <c r="V80" s="64" t="s">
        <v>259</v>
      </c>
      <c r="W80" s="67" t="s">
        <v>260</v>
      </c>
      <c r="X80" s="64" t="s">
        <v>261</v>
      </c>
    </row>
    <row r="81" spans="1:24" x14ac:dyDescent="0.2">
      <c r="O81">
        <v>12</v>
      </c>
      <c r="P81">
        <v>8</v>
      </c>
      <c r="Q81">
        <v>-80</v>
      </c>
      <c r="R81">
        <v>16</v>
      </c>
      <c r="S81">
        <v>40</v>
      </c>
      <c r="T81">
        <v>80</v>
      </c>
      <c r="U81" s="64" t="s">
        <v>241</v>
      </c>
      <c r="V81" s="64" t="s">
        <v>262</v>
      </c>
      <c r="W81" s="67" t="s">
        <v>263</v>
      </c>
      <c r="X81" s="64" t="s">
        <v>264</v>
      </c>
    </row>
    <row r="82" spans="1:24" ht="15" x14ac:dyDescent="0.25">
      <c r="B82" s="41" t="s">
        <v>166</v>
      </c>
      <c r="C82" s="42" t="s">
        <v>172</v>
      </c>
      <c r="D82" s="42" t="s">
        <v>174</v>
      </c>
      <c r="E82" s="3" t="s">
        <v>168</v>
      </c>
      <c r="F82" s="3" t="s">
        <v>169</v>
      </c>
      <c r="G82" s="3" t="s">
        <v>170</v>
      </c>
      <c r="H82" s="31" t="s">
        <v>171</v>
      </c>
      <c r="O82">
        <v>13</v>
      </c>
      <c r="P82">
        <v>3</v>
      </c>
      <c r="Q82">
        <v>-30</v>
      </c>
      <c r="R82">
        <v>6</v>
      </c>
      <c r="S82">
        <v>15</v>
      </c>
      <c r="T82">
        <v>30</v>
      </c>
      <c r="U82" s="64" t="s">
        <v>241</v>
      </c>
      <c r="V82" s="64" t="s">
        <v>246</v>
      </c>
      <c r="W82" s="67" t="s">
        <v>258</v>
      </c>
      <c r="X82" s="64" t="s">
        <v>249</v>
      </c>
    </row>
    <row r="83" spans="1:24" x14ac:dyDescent="0.2">
      <c r="A83">
        <v>1</v>
      </c>
      <c r="B83" s="18" t="s">
        <v>24</v>
      </c>
      <c r="C83" s="32">
        <f>IF(ISERROR(HLOOKUP($C$11,ModuleByRole,2,FALSE)),0,(HLOOKUP($C$11,ModuleByRole,2,FALSE)))</f>
        <v>0</v>
      </c>
      <c r="D83" s="32">
        <f>SUM((SUM(E83:H83))*2)</f>
        <v>0</v>
      </c>
      <c r="E83" s="32">
        <f>IF($C83 = "Exempt",listsandranges!$E$7, 0)</f>
        <v>0</v>
      </c>
      <c r="F83" s="32">
        <f>IF($C83 = "Basic", listsandranges!$E$4, 0)</f>
        <v>0</v>
      </c>
      <c r="G83" s="32">
        <f>IF($C83 = "Intermediate", listsandranges!$E$5, 0)</f>
        <v>0</v>
      </c>
      <c r="H83" s="19">
        <f>IF($C83 = "Advanced", listsandranges!$E$6, 0)</f>
        <v>0</v>
      </c>
      <c r="O83">
        <v>14</v>
      </c>
      <c r="P83">
        <v>8</v>
      </c>
      <c r="Q83">
        <v>-80</v>
      </c>
      <c r="R83">
        <v>16</v>
      </c>
      <c r="S83">
        <v>40</v>
      </c>
      <c r="T83">
        <v>80</v>
      </c>
      <c r="U83" s="64" t="s">
        <v>241</v>
      </c>
      <c r="V83" s="64" t="s">
        <v>245</v>
      </c>
      <c r="W83" s="67" t="s">
        <v>265</v>
      </c>
      <c r="X83" s="64" t="s">
        <v>253</v>
      </c>
    </row>
    <row r="84" spans="1:24" x14ac:dyDescent="0.2">
      <c r="A84">
        <v>2</v>
      </c>
      <c r="B84" s="18" t="s">
        <v>27</v>
      </c>
      <c r="C84" s="32">
        <f>IF(ISERROR(HLOOKUP($C$11,ModuleByRole,3,FALSE)),0,(HLOOKUP($C$11,ModuleByRole,3,FALSE)))</f>
        <v>0</v>
      </c>
      <c r="D84" s="32">
        <f t="shared" ref="D84:D96" si="3">SUM((SUM(E84:H84))*2)</f>
        <v>0</v>
      </c>
      <c r="E84" s="32">
        <f>IF($C84 = "Exempt",listsandranges!$E$7, 0)</f>
        <v>0</v>
      </c>
      <c r="F84" s="32">
        <f>IF($C84 = "Basic", listsandranges!$E$4, 0)</f>
        <v>0</v>
      </c>
      <c r="G84" s="32">
        <f>IF($C84 = "Intermediate", listsandranges!$E$5, 0)</f>
        <v>0</v>
      </c>
      <c r="H84" s="19">
        <f>IF($C84 = "Advanced", listsandranges!$E$6, 0)</f>
        <v>0</v>
      </c>
    </row>
    <row r="85" spans="1:24" x14ac:dyDescent="0.2">
      <c r="A85">
        <v>3</v>
      </c>
      <c r="B85" s="18" t="s">
        <v>30</v>
      </c>
      <c r="C85" s="32">
        <f>IF(ISERROR(HLOOKUP($C$11,ModuleByRole,4,FALSE)),0,(HLOOKUP($C$11,ModuleByRole,4,FALSE)))</f>
        <v>0</v>
      </c>
      <c r="D85" s="32">
        <f t="shared" si="3"/>
        <v>0</v>
      </c>
      <c r="E85" s="32">
        <f>IF($C85 = "Exempt",listsandranges!$E$7, 0)</f>
        <v>0</v>
      </c>
      <c r="F85" s="32">
        <f>IF($C85 = "Basic", listsandranges!$E$4, 0)</f>
        <v>0</v>
      </c>
      <c r="G85" s="32">
        <f>IF($C85 = "Intermediate", listsandranges!$E$5, 0)</f>
        <v>0</v>
      </c>
      <c r="H85" s="19">
        <f>IF($C85 = "Advanced", listsandranges!$E$6, 0)</f>
        <v>0</v>
      </c>
    </row>
    <row r="86" spans="1:24" x14ac:dyDescent="0.2">
      <c r="A86">
        <v>4</v>
      </c>
      <c r="B86" s="18" t="s">
        <v>33</v>
      </c>
      <c r="C86" s="32">
        <f>IF(ISERROR(HLOOKUP($C$11,ModuleByRole,5,FALSE)),0,(HLOOKUP($C$11,ModuleByRole,5,FALSE)))</f>
        <v>0</v>
      </c>
      <c r="D86" s="32">
        <f t="shared" si="3"/>
        <v>0</v>
      </c>
      <c r="E86" s="32">
        <f>IF($C86 = "Exempt",listsandranges!$E$7, 0)</f>
        <v>0</v>
      </c>
      <c r="F86" s="32">
        <f>IF($C86 = "Basic", listsandranges!$E$4, 0)</f>
        <v>0</v>
      </c>
      <c r="G86" s="32">
        <f>IF($C86 = "Intermediate", listsandranges!$E$5, 0)</f>
        <v>0</v>
      </c>
      <c r="H86" s="19">
        <f>IF($C86 = "Advanced", listsandranges!$E$6, 0)</f>
        <v>0</v>
      </c>
    </row>
    <row r="87" spans="1:24" ht="15" x14ac:dyDescent="0.25">
      <c r="A87">
        <v>5</v>
      </c>
      <c r="B87" s="18" t="s">
        <v>36</v>
      </c>
      <c r="C87" s="32">
        <f>IF(ISERROR(HLOOKUP($C$11,ModuleByRole,6,FALSE)),0,(HLOOKUP($C$11,ModuleByRole,6,FALSE)))</f>
        <v>0</v>
      </c>
      <c r="D87" s="32">
        <f t="shared" si="3"/>
        <v>0</v>
      </c>
      <c r="E87" s="32">
        <f>IF($C87 = "Exempt",listsandranges!$E$7, 0)</f>
        <v>0</v>
      </c>
      <c r="F87" s="32">
        <f>IF($C87 = "Basic", listsandranges!$E$4, 0)</f>
        <v>0</v>
      </c>
      <c r="G87" s="32">
        <f>IF($C87 = "Intermediate", listsandranges!$E$5, 0)</f>
        <v>0</v>
      </c>
      <c r="H87" s="19">
        <f>IF($C87 = "Advanced", listsandranges!$E$6, 0)</f>
        <v>0</v>
      </c>
      <c r="O87" s="61" t="s">
        <v>266</v>
      </c>
      <c r="Q87">
        <v>-10</v>
      </c>
      <c r="R87">
        <v>2</v>
      </c>
      <c r="S87">
        <v>5</v>
      </c>
      <c r="T87">
        <v>10</v>
      </c>
    </row>
    <row r="88" spans="1:24" x14ac:dyDescent="0.2">
      <c r="A88">
        <v>6</v>
      </c>
      <c r="B88" s="18" t="s">
        <v>38</v>
      </c>
      <c r="C88" s="32">
        <f>IF(ISERROR(HLOOKUP($C$11,ModuleByRole,7,FALSE)),0,(HLOOKUP($C$11,ModuleByRole,7,FALSE)))</f>
        <v>0</v>
      </c>
      <c r="D88" s="32">
        <f t="shared" si="3"/>
        <v>0</v>
      </c>
      <c r="E88" s="32">
        <f>IF($C88 = "Exempt",listsandranges!$E$7, 0)</f>
        <v>0</v>
      </c>
      <c r="F88" s="32">
        <f>IF($C88 = "Basic", listsandranges!$E$4, 0)</f>
        <v>0</v>
      </c>
      <c r="G88" s="32">
        <f>IF($C88 = "Intermediate", listsandranges!$E$5, 0)</f>
        <v>0</v>
      </c>
      <c r="H88" s="19">
        <f>IF($C88 = "Advanced", listsandranges!$E$6, 0)</f>
        <v>0</v>
      </c>
      <c r="O88" t="s">
        <v>235</v>
      </c>
      <c r="P88" t="s">
        <v>236</v>
      </c>
      <c r="Q88" t="s">
        <v>34</v>
      </c>
      <c r="R88" t="s">
        <v>25</v>
      </c>
      <c r="S88" t="s">
        <v>28</v>
      </c>
      <c r="T88" t="s">
        <v>31</v>
      </c>
      <c r="U88" t="s">
        <v>240</v>
      </c>
      <c r="V88" t="s">
        <v>237</v>
      </c>
      <c r="W88" t="s">
        <v>239</v>
      </c>
    </row>
    <row r="89" spans="1:24" x14ac:dyDescent="0.2">
      <c r="A89">
        <v>7</v>
      </c>
      <c r="B89" s="18" t="s">
        <v>40</v>
      </c>
      <c r="C89" s="32">
        <f>IF(ISERROR(HLOOKUP($C$11,ModuleByRole,8,FALSE)),0,(HLOOKUP($C$11,ModuleByRole,8,FALSE)))</f>
        <v>0</v>
      </c>
      <c r="D89" s="32">
        <f t="shared" si="3"/>
        <v>0</v>
      </c>
      <c r="E89" s="32">
        <f>IF($C89 = "Exempt",listsandranges!$E$7, 0)</f>
        <v>0</v>
      </c>
      <c r="F89" s="32">
        <f>IF($C89 = "Basic", listsandranges!$E$4, 0)</f>
        <v>0</v>
      </c>
      <c r="G89" s="32">
        <f>IF($C89 = "Intermediate", listsandranges!$E$5, 0)</f>
        <v>0</v>
      </c>
      <c r="H89" s="19">
        <f>IF($C89 = "Advanced", listsandranges!$E$6, 0)</f>
        <v>0</v>
      </c>
      <c r="O89">
        <v>1</v>
      </c>
      <c r="P89">
        <v>8</v>
      </c>
      <c r="Q89">
        <v>-80</v>
      </c>
      <c r="R89">
        <v>16</v>
      </c>
      <c r="S89">
        <v>40</v>
      </c>
      <c r="T89">
        <v>80</v>
      </c>
      <c r="U89" t="s">
        <v>241</v>
      </c>
      <c r="V89" t="s">
        <v>267</v>
      </c>
      <c r="W89" t="s">
        <v>268</v>
      </c>
    </row>
    <row r="90" spans="1:24" x14ac:dyDescent="0.2">
      <c r="A90">
        <v>8</v>
      </c>
      <c r="B90" s="18" t="s">
        <v>42</v>
      </c>
      <c r="C90" s="32">
        <f>IF(ISERROR(HLOOKUP($C$11,ModuleByRole,9,FALSE)),0,(HLOOKUP($C$11,ModuleByRole,9,FALSE)))</f>
        <v>0</v>
      </c>
      <c r="D90" s="32">
        <f t="shared" si="3"/>
        <v>0</v>
      </c>
      <c r="E90" s="32">
        <f>IF($C90 = "Exempt",listsandranges!$E$7, 0)</f>
        <v>0</v>
      </c>
      <c r="F90" s="32">
        <f>IF($C90 = "Basic", listsandranges!$E$4, 0)</f>
        <v>0</v>
      </c>
      <c r="G90" s="32">
        <f>IF($C90 = "Intermediate", listsandranges!$E$5, 0)</f>
        <v>0</v>
      </c>
      <c r="H90" s="19">
        <f>IF($C90 = "Advanced", listsandranges!$E$6, 0)</f>
        <v>0</v>
      </c>
      <c r="O90">
        <v>2</v>
      </c>
      <c r="P90">
        <v>3</v>
      </c>
      <c r="Q90">
        <v>-30</v>
      </c>
      <c r="R90">
        <v>6</v>
      </c>
      <c r="S90">
        <v>15</v>
      </c>
      <c r="T90">
        <v>30</v>
      </c>
      <c r="U90" t="s">
        <v>241</v>
      </c>
      <c r="V90" t="s">
        <v>269</v>
      </c>
      <c r="W90" t="s">
        <v>183</v>
      </c>
    </row>
    <row r="91" spans="1:24" x14ac:dyDescent="0.2">
      <c r="A91">
        <v>9</v>
      </c>
      <c r="B91" s="18" t="s">
        <v>44</v>
      </c>
      <c r="C91" s="32">
        <f>IF(ISERROR(HLOOKUP($C$11,ModuleByRole,10,FALSE)),0,(HLOOKUP($C$11,ModuleByRole,10,FALSE)))</f>
        <v>0</v>
      </c>
      <c r="D91" s="32">
        <f t="shared" si="3"/>
        <v>0</v>
      </c>
      <c r="E91" s="32">
        <f>IF($C91 = "Exempt",listsandranges!$E$7, 0)</f>
        <v>0</v>
      </c>
      <c r="F91" s="32">
        <f>IF($C91 = "Basic", listsandranges!$E$4, 0)</f>
        <v>0</v>
      </c>
      <c r="G91" s="32">
        <f>IF($C91 = "Intermediate", listsandranges!$E$5, 0)</f>
        <v>0</v>
      </c>
      <c r="H91" s="19">
        <f>IF($C91 = "Advanced", listsandranges!$E$6, 0)</f>
        <v>0</v>
      </c>
      <c r="O91">
        <v>3</v>
      </c>
      <c r="P91">
        <v>5</v>
      </c>
      <c r="Q91">
        <v>-50</v>
      </c>
      <c r="R91">
        <v>10</v>
      </c>
      <c r="S91">
        <v>25</v>
      </c>
      <c r="T91">
        <v>50</v>
      </c>
      <c r="U91" t="s">
        <v>241</v>
      </c>
      <c r="V91" t="s">
        <v>270</v>
      </c>
      <c r="W91" t="s">
        <v>271</v>
      </c>
    </row>
    <row r="92" spans="1:24" x14ac:dyDescent="0.2">
      <c r="A92">
        <v>10</v>
      </c>
      <c r="B92" s="18" t="s">
        <v>46</v>
      </c>
      <c r="C92" s="32">
        <f>IF(ISERROR(HLOOKUP($C$11,ModuleByRole,11,FALSE)),0,(HLOOKUP($C$11,ModuleByRole,11,FALSE)))</f>
        <v>0</v>
      </c>
      <c r="D92" s="32">
        <f t="shared" si="3"/>
        <v>0</v>
      </c>
      <c r="E92" s="32">
        <f>IF($C92 = "Exempt",listsandranges!$E$7, 0)</f>
        <v>0</v>
      </c>
      <c r="F92" s="32">
        <f>IF($C92 = "Basic", listsandranges!$E$4, 0)</f>
        <v>0</v>
      </c>
      <c r="G92" s="32">
        <f>IF($C92 = "Intermediate", listsandranges!$E$5, 0)</f>
        <v>0</v>
      </c>
      <c r="H92" s="19">
        <f>IF($C92 = "Advanced", listsandranges!$E$6, 0)</f>
        <v>0</v>
      </c>
      <c r="O92">
        <v>4</v>
      </c>
      <c r="P92">
        <v>5</v>
      </c>
      <c r="Q92">
        <v>-50</v>
      </c>
      <c r="R92">
        <v>10</v>
      </c>
      <c r="S92">
        <v>25</v>
      </c>
      <c r="T92">
        <v>50</v>
      </c>
      <c r="U92" t="s">
        <v>241</v>
      </c>
      <c r="V92" t="s">
        <v>270</v>
      </c>
      <c r="W92" t="s">
        <v>271</v>
      </c>
    </row>
    <row r="93" spans="1:24" x14ac:dyDescent="0.2">
      <c r="A93">
        <v>11</v>
      </c>
      <c r="B93" s="18" t="s">
        <v>48</v>
      </c>
      <c r="C93" s="32">
        <f>IF(ISERROR(HLOOKUP($C$11,ModuleByRole,12,FALSE)),0,(HLOOKUP($C$11,ModuleByRole,12,FALSE)))</f>
        <v>0</v>
      </c>
      <c r="D93" s="32">
        <f t="shared" si="3"/>
        <v>0</v>
      </c>
      <c r="E93" s="32">
        <f>IF($C93 = "Exempt",listsandranges!$E$7, 0)</f>
        <v>0</v>
      </c>
      <c r="F93" s="32">
        <f>IF($C93 = "Basic", listsandranges!$E$4, 0)</f>
        <v>0</v>
      </c>
      <c r="G93" s="32">
        <f>IF($C93 = "Intermediate", listsandranges!$E$5, 0)</f>
        <v>0</v>
      </c>
      <c r="H93" s="19">
        <f>IF($C93 = "Advanced", listsandranges!$E$6, 0)</f>
        <v>0</v>
      </c>
      <c r="O93">
        <v>5</v>
      </c>
      <c r="P93">
        <v>4</v>
      </c>
      <c r="Q93">
        <v>-40</v>
      </c>
      <c r="R93">
        <v>8</v>
      </c>
      <c r="S93">
        <v>20</v>
      </c>
      <c r="T93">
        <v>40</v>
      </c>
      <c r="U93" t="s">
        <v>241</v>
      </c>
      <c r="V93" t="s">
        <v>272</v>
      </c>
      <c r="W93" t="s">
        <v>273</v>
      </c>
    </row>
    <row r="94" spans="1:24" x14ac:dyDescent="0.2">
      <c r="A94">
        <v>12</v>
      </c>
      <c r="B94" s="18" t="s">
        <v>50</v>
      </c>
      <c r="C94" s="32">
        <f>IF(ISERROR(HLOOKUP($C$11,ModuleByRole,13,FALSE)),0,(HLOOKUP($C$11,ModuleByRole,13,FALSE)))</f>
        <v>0</v>
      </c>
      <c r="D94" s="32">
        <f t="shared" si="3"/>
        <v>0</v>
      </c>
      <c r="E94" s="32">
        <f>IF($C94 = "Exempt",listsandranges!$E$7, 0)</f>
        <v>0</v>
      </c>
      <c r="F94" s="32">
        <f>IF($C94 = "Basic", listsandranges!$E$4, 0)</f>
        <v>0</v>
      </c>
      <c r="G94" s="32">
        <f>IF($C94 = "Intermediate", listsandranges!$E$5, 0)</f>
        <v>0</v>
      </c>
      <c r="H94" s="19">
        <f>IF($C94 = "Advanced", listsandranges!$E$6, 0)</f>
        <v>0</v>
      </c>
      <c r="O94">
        <v>6</v>
      </c>
      <c r="P94">
        <v>4</v>
      </c>
      <c r="Q94">
        <v>-40</v>
      </c>
      <c r="R94">
        <v>8</v>
      </c>
      <c r="S94">
        <v>20</v>
      </c>
      <c r="T94">
        <v>40</v>
      </c>
      <c r="U94" t="s">
        <v>241</v>
      </c>
      <c r="V94" t="s">
        <v>272</v>
      </c>
      <c r="W94" t="s">
        <v>273</v>
      </c>
    </row>
    <row r="95" spans="1:24" x14ac:dyDescent="0.2">
      <c r="A95">
        <v>13</v>
      </c>
      <c r="B95" s="18" t="s">
        <v>52</v>
      </c>
      <c r="C95" s="32">
        <f>IF(ISERROR(HLOOKUP($C$11,ModuleByRole,14,FALSE)),0,(HLOOKUP($C$11,ModuleByRole,14,FALSE)))</f>
        <v>0</v>
      </c>
      <c r="D95" s="32">
        <f t="shared" si="3"/>
        <v>0</v>
      </c>
      <c r="E95" s="32">
        <f>IF($C95 = "Exempt",listsandranges!$E$7, 0)</f>
        <v>0</v>
      </c>
      <c r="F95" s="32">
        <f>IF($C95 = "Basic", listsandranges!$E$4, 0)</f>
        <v>0</v>
      </c>
      <c r="G95" s="32">
        <f>IF($C95 = "Intermediate", listsandranges!$E$5, 0)</f>
        <v>0</v>
      </c>
      <c r="H95" s="19">
        <f>IF($C95 = "Advanced", listsandranges!$E$6, 0)</f>
        <v>0</v>
      </c>
      <c r="O95">
        <v>7</v>
      </c>
      <c r="P95">
        <v>4</v>
      </c>
      <c r="Q95">
        <v>-40</v>
      </c>
      <c r="R95">
        <v>8</v>
      </c>
      <c r="S95">
        <v>20</v>
      </c>
      <c r="T95">
        <v>40</v>
      </c>
      <c r="U95" t="s">
        <v>241</v>
      </c>
      <c r="V95" t="s">
        <v>272</v>
      </c>
      <c r="W95" t="s">
        <v>273</v>
      </c>
    </row>
    <row r="96" spans="1:24" x14ac:dyDescent="0.2">
      <c r="A96">
        <v>14</v>
      </c>
      <c r="B96" s="20" t="s">
        <v>53</v>
      </c>
      <c r="C96" s="43">
        <f>IF(ISERROR(HLOOKUP($C$11,ModuleByRole,15,FALSE)),0,(HLOOKUP($C$11,ModuleByRole,15,FALSE)))</f>
        <v>0</v>
      </c>
      <c r="D96" s="43">
        <f t="shared" si="3"/>
        <v>0</v>
      </c>
      <c r="E96" s="43">
        <f>IF($C96 = "Exempt",listsandranges!$E$7, 0)</f>
        <v>0</v>
      </c>
      <c r="F96" s="43">
        <f>IF($C96 = "Basic", listsandranges!$E$4, 0)</f>
        <v>0</v>
      </c>
      <c r="G96" s="43">
        <f>IF($C96 = "Intermediate", listsandranges!$E$5, 0)</f>
        <v>0</v>
      </c>
      <c r="H96" s="21">
        <f>IF($C96 = "Advanced", listsandranges!$E$6, 0)</f>
        <v>0</v>
      </c>
      <c r="O96">
        <v>8</v>
      </c>
      <c r="P96">
        <v>4</v>
      </c>
      <c r="Q96">
        <v>-40</v>
      </c>
      <c r="R96">
        <v>8</v>
      </c>
      <c r="S96">
        <v>20</v>
      </c>
      <c r="T96">
        <v>40</v>
      </c>
      <c r="U96" t="s">
        <v>241</v>
      </c>
      <c r="V96" t="s">
        <v>272</v>
      </c>
      <c r="W96" t="s">
        <v>273</v>
      </c>
    </row>
    <row r="97" spans="1:23" x14ac:dyDescent="0.2">
      <c r="O97">
        <v>9</v>
      </c>
      <c r="P97">
        <v>5</v>
      </c>
      <c r="Q97">
        <v>-50</v>
      </c>
      <c r="R97">
        <v>10</v>
      </c>
      <c r="S97">
        <v>25</v>
      </c>
      <c r="T97">
        <v>50</v>
      </c>
      <c r="U97" t="s">
        <v>241</v>
      </c>
      <c r="V97" t="s">
        <v>270</v>
      </c>
      <c r="W97" t="s">
        <v>271</v>
      </c>
    </row>
    <row r="98" spans="1:23" x14ac:dyDescent="0.2">
      <c r="O98">
        <v>10</v>
      </c>
      <c r="P98">
        <v>8</v>
      </c>
      <c r="Q98">
        <v>-80</v>
      </c>
      <c r="R98">
        <v>16</v>
      </c>
      <c r="S98">
        <v>40</v>
      </c>
      <c r="T98">
        <v>80</v>
      </c>
      <c r="U98" t="s">
        <v>241</v>
      </c>
      <c r="V98" t="s">
        <v>274</v>
      </c>
      <c r="W98" t="s">
        <v>248</v>
      </c>
    </row>
    <row r="99" spans="1:23" x14ac:dyDescent="0.2">
      <c r="O99">
        <v>11</v>
      </c>
      <c r="P99">
        <v>8</v>
      </c>
      <c r="Q99">
        <v>-80</v>
      </c>
      <c r="R99">
        <v>16</v>
      </c>
      <c r="S99">
        <v>40</v>
      </c>
      <c r="T99">
        <v>80</v>
      </c>
      <c r="U99" t="s">
        <v>241</v>
      </c>
      <c r="V99" t="s">
        <v>275</v>
      </c>
      <c r="W99" t="s">
        <v>276</v>
      </c>
    </row>
    <row r="100" spans="1:23" ht="15" x14ac:dyDescent="0.25">
      <c r="B100" s="41" t="s">
        <v>166</v>
      </c>
      <c r="C100" s="42" t="s">
        <v>173</v>
      </c>
      <c r="D100" s="42" t="str">
        <f t="shared" ref="D100:D114" si="4">D82</f>
        <v>RoleScore</v>
      </c>
      <c r="E100" s="42" t="s">
        <v>175</v>
      </c>
      <c r="F100" s="44" t="s">
        <v>176</v>
      </c>
      <c r="G100" s="45" t="s">
        <v>177</v>
      </c>
      <c r="H100" s="68" t="s">
        <v>244</v>
      </c>
      <c r="O100">
        <v>12</v>
      </c>
      <c r="P100">
        <v>8</v>
      </c>
      <c r="Q100">
        <v>-80</v>
      </c>
      <c r="R100">
        <v>16</v>
      </c>
      <c r="S100">
        <v>40</v>
      </c>
      <c r="T100">
        <v>80</v>
      </c>
      <c r="U100" t="s">
        <v>241</v>
      </c>
      <c r="V100" t="s">
        <v>275</v>
      </c>
      <c r="W100" t="s">
        <v>276</v>
      </c>
    </row>
    <row r="101" spans="1:23" x14ac:dyDescent="0.2">
      <c r="A101">
        <v>1</v>
      </c>
      <c r="B101" s="18" t="s">
        <v>24</v>
      </c>
      <c r="C101" s="32">
        <f>SUM(D101:G101)</f>
        <v>16</v>
      </c>
      <c r="D101" s="32">
        <f t="shared" si="4"/>
        <v>0</v>
      </c>
      <c r="E101" s="32">
        <f>M28</f>
        <v>1</v>
      </c>
      <c r="F101" s="32">
        <f>M41</f>
        <v>15</v>
      </c>
      <c r="G101" s="19">
        <f>M63</f>
        <v>0</v>
      </c>
      <c r="O101">
        <v>13</v>
      </c>
      <c r="P101">
        <v>3</v>
      </c>
      <c r="Q101">
        <v>-30</v>
      </c>
      <c r="R101">
        <v>6</v>
      </c>
      <c r="S101">
        <v>15</v>
      </c>
      <c r="T101">
        <v>30</v>
      </c>
      <c r="U101" t="s">
        <v>241</v>
      </c>
      <c r="V101" t="s">
        <v>277</v>
      </c>
      <c r="W101" t="s">
        <v>248</v>
      </c>
    </row>
    <row r="102" spans="1:23" x14ac:dyDescent="0.2">
      <c r="A102">
        <v>2</v>
      </c>
      <c r="B102" s="18" t="s">
        <v>27</v>
      </c>
      <c r="C102" s="32">
        <f t="shared" ref="C102:C114" si="5">SUM(D102:G102)</f>
        <v>0</v>
      </c>
      <c r="D102" s="32">
        <f t="shared" si="4"/>
        <v>0</v>
      </c>
      <c r="E102" s="32">
        <f>N28</f>
        <v>0</v>
      </c>
      <c r="F102" s="32">
        <f>N41</f>
        <v>0</v>
      </c>
      <c r="G102" s="19">
        <f>N63</f>
        <v>0</v>
      </c>
      <c r="O102">
        <v>14</v>
      </c>
      <c r="P102">
        <v>8</v>
      </c>
      <c r="Q102">
        <v>-80</v>
      </c>
      <c r="R102">
        <v>16</v>
      </c>
      <c r="S102">
        <v>40</v>
      </c>
      <c r="T102">
        <v>80</v>
      </c>
      <c r="U102" t="s">
        <v>241</v>
      </c>
      <c r="V102" t="s">
        <v>278</v>
      </c>
      <c r="W102" t="s">
        <v>279</v>
      </c>
    </row>
    <row r="103" spans="1:23" x14ac:dyDescent="0.2">
      <c r="A103">
        <v>3</v>
      </c>
      <c r="B103" s="18" t="s">
        <v>30</v>
      </c>
      <c r="C103" s="32">
        <f t="shared" si="5"/>
        <v>0</v>
      </c>
      <c r="D103" s="32">
        <f t="shared" si="4"/>
        <v>0</v>
      </c>
      <c r="E103" s="32">
        <f>O28</f>
        <v>0</v>
      </c>
      <c r="F103" s="32">
        <f>O41</f>
        <v>0</v>
      </c>
      <c r="G103" s="19">
        <f>O63</f>
        <v>0</v>
      </c>
    </row>
    <row r="104" spans="1:23" x14ac:dyDescent="0.2">
      <c r="A104">
        <v>4</v>
      </c>
      <c r="B104" s="18" t="s">
        <v>33</v>
      </c>
      <c r="C104" s="32">
        <f t="shared" si="5"/>
        <v>0</v>
      </c>
      <c r="D104" s="32">
        <f t="shared" si="4"/>
        <v>0</v>
      </c>
      <c r="E104" s="32">
        <f>P28</f>
        <v>0</v>
      </c>
      <c r="F104" s="32">
        <f>P41</f>
        <v>0</v>
      </c>
      <c r="G104" s="19">
        <f>P63</f>
        <v>0</v>
      </c>
    </row>
    <row r="105" spans="1:23" x14ac:dyDescent="0.2">
      <c r="A105">
        <v>5</v>
      </c>
      <c r="B105" s="18" t="s">
        <v>36</v>
      </c>
      <c r="C105" s="32">
        <f t="shared" si="5"/>
        <v>0</v>
      </c>
      <c r="D105" s="32">
        <f t="shared" si="4"/>
        <v>0</v>
      </c>
      <c r="E105" s="32">
        <f>Q28</f>
        <v>0</v>
      </c>
      <c r="F105" s="32">
        <f>Q41</f>
        <v>0</v>
      </c>
      <c r="G105" s="19">
        <f>Q63</f>
        <v>0</v>
      </c>
    </row>
    <row r="106" spans="1:23" x14ac:dyDescent="0.2">
      <c r="A106">
        <v>6</v>
      </c>
      <c r="B106" s="18" t="s">
        <v>38</v>
      </c>
      <c r="C106" s="32">
        <f t="shared" si="5"/>
        <v>0</v>
      </c>
      <c r="D106" s="32">
        <f t="shared" si="4"/>
        <v>0</v>
      </c>
      <c r="E106" s="32">
        <f>R28</f>
        <v>0</v>
      </c>
      <c r="F106" s="32">
        <f>R41</f>
        <v>0</v>
      </c>
      <c r="G106" s="19">
        <f>R63</f>
        <v>0</v>
      </c>
    </row>
    <row r="107" spans="1:23" x14ac:dyDescent="0.2">
      <c r="A107">
        <v>7</v>
      </c>
      <c r="B107" s="18" t="s">
        <v>40</v>
      </c>
      <c r="C107" s="32">
        <f t="shared" si="5"/>
        <v>0</v>
      </c>
      <c r="D107" s="32">
        <f t="shared" si="4"/>
        <v>0</v>
      </c>
      <c r="E107" s="32">
        <f>S28</f>
        <v>0</v>
      </c>
      <c r="F107" s="32">
        <f>S41</f>
        <v>0</v>
      </c>
      <c r="G107" s="19">
        <f>S63</f>
        <v>0</v>
      </c>
    </row>
    <row r="108" spans="1:23" x14ac:dyDescent="0.2">
      <c r="A108">
        <v>8</v>
      </c>
      <c r="B108" s="18" t="s">
        <v>42</v>
      </c>
      <c r="C108" s="32">
        <f t="shared" si="5"/>
        <v>0</v>
      </c>
      <c r="D108" s="32">
        <f t="shared" si="4"/>
        <v>0</v>
      </c>
      <c r="E108" s="32">
        <f>T28</f>
        <v>0</v>
      </c>
      <c r="F108" s="32">
        <f>T41</f>
        <v>0</v>
      </c>
      <c r="G108" s="19">
        <f>T63</f>
        <v>0</v>
      </c>
    </row>
    <row r="109" spans="1:23" x14ac:dyDescent="0.2">
      <c r="A109">
        <v>9</v>
      </c>
      <c r="B109" s="18" t="s">
        <v>44</v>
      </c>
      <c r="C109" s="32">
        <f t="shared" si="5"/>
        <v>0</v>
      </c>
      <c r="D109" s="32">
        <f t="shared" si="4"/>
        <v>0</v>
      </c>
      <c r="E109" s="32">
        <f>U28</f>
        <v>0</v>
      </c>
      <c r="F109" s="32">
        <f>U41</f>
        <v>0</v>
      </c>
      <c r="G109" s="19">
        <f>U63</f>
        <v>0</v>
      </c>
    </row>
    <row r="110" spans="1:23" x14ac:dyDescent="0.2">
      <c r="A110">
        <v>10</v>
      </c>
      <c r="B110" s="18" t="s">
        <v>46</v>
      </c>
      <c r="C110" s="32">
        <f t="shared" si="5"/>
        <v>10</v>
      </c>
      <c r="D110" s="32">
        <f t="shared" si="4"/>
        <v>0</v>
      </c>
      <c r="E110" s="32">
        <f>V28</f>
        <v>0</v>
      </c>
      <c r="F110" s="32">
        <f>V41</f>
        <v>10</v>
      </c>
      <c r="G110" s="19">
        <f>V63</f>
        <v>0</v>
      </c>
    </row>
    <row r="111" spans="1:23" x14ac:dyDescent="0.2">
      <c r="A111">
        <v>11</v>
      </c>
      <c r="B111" s="18" t="s">
        <v>48</v>
      </c>
      <c r="C111" s="32">
        <f t="shared" si="5"/>
        <v>40</v>
      </c>
      <c r="D111" s="32">
        <f t="shared" si="4"/>
        <v>0</v>
      </c>
      <c r="E111" s="32">
        <f>W28</f>
        <v>0</v>
      </c>
      <c r="F111" s="32">
        <f>W41</f>
        <v>40</v>
      </c>
      <c r="G111" s="19">
        <f>W63</f>
        <v>0</v>
      </c>
    </row>
    <row r="112" spans="1:23" x14ac:dyDescent="0.2">
      <c r="A112">
        <v>12</v>
      </c>
      <c r="B112" s="18" t="s">
        <v>50</v>
      </c>
      <c r="C112" s="32">
        <f t="shared" si="5"/>
        <v>31</v>
      </c>
      <c r="D112" s="32">
        <f t="shared" si="4"/>
        <v>0</v>
      </c>
      <c r="E112" s="32">
        <f>X28</f>
        <v>1</v>
      </c>
      <c r="F112" s="32">
        <f>X41</f>
        <v>30</v>
      </c>
      <c r="G112" s="19">
        <f>X63</f>
        <v>0</v>
      </c>
    </row>
    <row r="113" spans="1:7" x14ac:dyDescent="0.2">
      <c r="A113">
        <v>13</v>
      </c>
      <c r="B113" s="18" t="s">
        <v>52</v>
      </c>
      <c r="C113" s="32">
        <f t="shared" si="5"/>
        <v>5</v>
      </c>
      <c r="D113" s="32">
        <f t="shared" si="4"/>
        <v>0</v>
      </c>
      <c r="E113" s="32">
        <f>Y28</f>
        <v>0</v>
      </c>
      <c r="F113" s="32">
        <f>Y41</f>
        <v>5</v>
      </c>
      <c r="G113" s="19">
        <f>Y63</f>
        <v>0</v>
      </c>
    </row>
    <row r="114" spans="1:7" x14ac:dyDescent="0.2">
      <c r="A114">
        <v>14</v>
      </c>
      <c r="B114" s="20" t="s">
        <v>53</v>
      </c>
      <c r="C114" s="43">
        <f t="shared" si="5"/>
        <v>21</v>
      </c>
      <c r="D114" s="43">
        <f t="shared" si="4"/>
        <v>0</v>
      </c>
      <c r="E114" s="43">
        <f>Z28</f>
        <v>1</v>
      </c>
      <c r="F114" s="43">
        <f>Z41</f>
        <v>20</v>
      </c>
      <c r="G114" s="21">
        <f>Z63</f>
        <v>0</v>
      </c>
    </row>
  </sheetData>
  <mergeCells count="7">
    <mergeCell ref="B57:C57"/>
    <mergeCell ref="B69:C69"/>
    <mergeCell ref="A2:B2"/>
    <mergeCell ref="B18:C18"/>
    <mergeCell ref="B34:C34"/>
    <mergeCell ref="B27:C27"/>
    <mergeCell ref="B39:C39"/>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3:A4"/>
  <sheetViews>
    <sheetView workbookViewId="0">
      <selection activeCell="D12" sqref="D12"/>
    </sheetView>
  </sheetViews>
  <sheetFormatPr defaultRowHeight="14.25" x14ac:dyDescent="0.2"/>
  <sheetData>
    <row r="3" spans="1:1" x14ac:dyDescent="0.2">
      <c r="A3" s="22" t="s">
        <v>79</v>
      </c>
    </row>
    <row r="4" spans="1:1" x14ac:dyDescent="0.2">
      <c r="A4" s="22" t="s">
        <v>80</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Instructions</vt:lpstr>
      <vt:lpstr>ScribblePad</vt:lpstr>
      <vt:lpstr>levelScores</vt:lpstr>
      <vt:lpstr>ModuleByRole</vt:lpstr>
      <vt:lpstr>ModuleNames</vt:lpstr>
      <vt:lpstr>Personas</vt:lpstr>
      <vt:lpstr>Instructions!Print_Area</vt:lpstr>
      <vt:lpstr>projecttypes</vt:lpstr>
      <vt:lpstr>ScaleRate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Moon</dc:creator>
  <cp:lastModifiedBy>Jonathan Moon</cp:lastModifiedBy>
  <cp:lastPrinted>2018-04-23T06:58:07Z</cp:lastPrinted>
  <dcterms:created xsi:type="dcterms:W3CDTF">2018-03-21T10:17:25Z</dcterms:created>
  <dcterms:modified xsi:type="dcterms:W3CDTF">2018-05-24T11:09:26Z</dcterms:modified>
</cp:coreProperties>
</file>